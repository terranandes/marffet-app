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tcpcs02\userhome\terwu01\My Documents\"/>
    </mc:Choice>
  </mc:AlternateContent>
  <xr:revisionPtr revIDLastSave="0" documentId="13_ncr:2001_{11A49E79-BEAB-4CD1-B937-AC2A0D453A53}" xr6:coauthVersionLast="47" xr6:coauthVersionMax="47" xr10:uidLastSave="{00000000-0000-0000-0000-000000000000}"/>
  <bookViews>
    <workbookView xWindow="-90" yWindow="0" windowWidth="19380" windowHeight="20970" activeTab="1" xr2:uid="{C5B5033D-4B69-4CD8-80D2-F40DAA6D7422}"/>
  </bookViews>
  <sheets>
    <sheet name="Summary" sheetId="5" r:id="rId1"/>
    <sheet name="Main" sheetId="2" r:id="rId2"/>
    <sheet name="KPI" sheetId="9" r:id="rId3"/>
    <sheet name="6533" sheetId="8" r:id="rId4"/>
    <sheet name="65331" sheetId="7" r:id="rId5"/>
    <sheet name="GPT5" sheetId="1" r:id="rId6"/>
    <sheet name="Gemini" sheetId="3" r:id="rId7"/>
    <sheet name="Grok" sheetId="4" r:id="rId8"/>
  </sheets>
  <definedNames>
    <definedName name="_xlnm._FilterDatabase" localSheetId="1" hidden="1">Main!$A$1:$L$2</definedName>
    <definedName name="外部資料_1" localSheetId="3" hidden="1">'6533'!$A$1:$B$13</definedName>
    <definedName name="外部資料_1" localSheetId="4" hidden="1">'65331'!$A$1:$B$13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" l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5" i="2"/>
  <c r="E2" i="9"/>
  <c r="D2" i="9"/>
  <c r="I4" i="9"/>
  <c r="I2" i="9"/>
  <c r="H146" i="2"/>
  <c r="D146" i="2"/>
  <c r="E146" i="2" s="1"/>
  <c r="F146" i="2" s="1"/>
  <c r="H145" i="2"/>
  <c r="D145" i="2"/>
  <c r="E145" i="2" s="1"/>
  <c r="F145" i="2" s="1"/>
  <c r="H144" i="2"/>
  <c r="I144" i="2" s="1"/>
  <c r="E144" i="2"/>
  <c r="F144" i="2" s="1"/>
  <c r="D144" i="2"/>
  <c r="H143" i="2"/>
  <c r="D143" i="2"/>
  <c r="E143" i="2" s="1"/>
  <c r="F143" i="2" s="1"/>
  <c r="H142" i="2"/>
  <c r="D142" i="2"/>
  <c r="I142" i="2" s="1"/>
  <c r="H141" i="2"/>
  <c r="I141" i="2" s="1"/>
  <c r="D141" i="2"/>
  <c r="E141" i="2" s="1"/>
  <c r="F141" i="2" s="1"/>
  <c r="H140" i="2"/>
  <c r="D140" i="2"/>
  <c r="E140" i="2" s="1"/>
  <c r="F140" i="2" s="1"/>
  <c r="H139" i="2"/>
  <c r="D139" i="2"/>
  <c r="E139" i="2" s="1"/>
  <c r="F139" i="2" s="1"/>
  <c r="H138" i="2"/>
  <c r="I138" i="2" s="1"/>
  <c r="D138" i="2"/>
  <c r="E138" i="2" s="1"/>
  <c r="F138" i="2" s="1"/>
  <c r="H137" i="2"/>
  <c r="I137" i="2" s="1"/>
  <c r="E137" i="2"/>
  <c r="F137" i="2" s="1"/>
  <c r="D137" i="2"/>
  <c r="H136" i="2"/>
  <c r="D136" i="2"/>
  <c r="E136" i="2" s="1"/>
  <c r="F136" i="2" s="1"/>
  <c r="H135" i="2"/>
  <c r="I135" i="2" s="1"/>
  <c r="D135" i="2"/>
  <c r="E135" i="2" s="1"/>
  <c r="F135" i="2" s="1"/>
  <c r="H134" i="2"/>
  <c r="I134" i="2" s="1"/>
  <c r="E134" i="2"/>
  <c r="F134" i="2" s="1"/>
  <c r="D134" i="2"/>
  <c r="H133" i="2"/>
  <c r="D133" i="2"/>
  <c r="I133" i="2" s="1"/>
  <c r="H132" i="2"/>
  <c r="E132" i="2"/>
  <c r="F132" i="2" s="1"/>
  <c r="D132" i="2"/>
  <c r="I131" i="2"/>
  <c r="H131" i="2"/>
  <c r="D131" i="2"/>
  <c r="E131" i="2" s="1"/>
  <c r="F131" i="2" s="1"/>
  <c r="H130" i="2"/>
  <c r="D130" i="2"/>
  <c r="E130" i="2" s="1"/>
  <c r="F130" i="2" s="1"/>
  <c r="H129" i="2"/>
  <c r="I129" i="2" s="1"/>
  <c r="D129" i="2"/>
  <c r="E129" i="2" s="1"/>
  <c r="F129" i="2" s="1"/>
  <c r="H128" i="2"/>
  <c r="D128" i="2"/>
  <c r="E128" i="2" s="1"/>
  <c r="F128" i="2" s="1"/>
  <c r="H127" i="2"/>
  <c r="D127" i="2"/>
  <c r="E127" i="2" s="1"/>
  <c r="F127" i="2" s="1"/>
  <c r="H126" i="2"/>
  <c r="D126" i="2"/>
  <c r="E126" i="2" s="1"/>
  <c r="F126" i="2" s="1"/>
  <c r="H125" i="2"/>
  <c r="I125" i="2" s="1"/>
  <c r="D125" i="2"/>
  <c r="E125" i="2" s="1"/>
  <c r="F125" i="2" s="1"/>
  <c r="H124" i="2"/>
  <c r="D124" i="2"/>
  <c r="H123" i="2"/>
  <c r="I123" i="2" s="1"/>
  <c r="D123" i="2"/>
  <c r="E123" i="2" s="1"/>
  <c r="F123" i="2" s="1"/>
  <c r="H122" i="2"/>
  <c r="D122" i="2"/>
  <c r="E122" i="2" s="1"/>
  <c r="F122" i="2" s="1"/>
  <c r="H121" i="2"/>
  <c r="I121" i="2" s="1"/>
  <c r="D121" i="2"/>
  <c r="E121" i="2" s="1"/>
  <c r="F121" i="2" s="1"/>
  <c r="H120" i="2"/>
  <c r="D120" i="2"/>
  <c r="E120" i="2" s="1"/>
  <c r="F120" i="2" s="1"/>
  <c r="H119" i="2"/>
  <c r="I119" i="2" s="1"/>
  <c r="D119" i="2"/>
  <c r="E119" i="2" s="1"/>
  <c r="F119" i="2" s="1"/>
  <c r="H118" i="2"/>
  <c r="E118" i="2"/>
  <c r="F118" i="2" s="1"/>
  <c r="D118" i="2"/>
  <c r="H117" i="2"/>
  <c r="D117" i="2"/>
  <c r="E117" i="2" s="1"/>
  <c r="F117" i="2" s="1"/>
  <c r="H116" i="2"/>
  <c r="D116" i="2"/>
  <c r="E116" i="2" s="1"/>
  <c r="F116" i="2" s="1"/>
  <c r="H115" i="2"/>
  <c r="D115" i="2"/>
  <c r="H114" i="2"/>
  <c r="D114" i="2"/>
  <c r="H113" i="2"/>
  <c r="D113" i="2"/>
  <c r="E113" i="2" s="1"/>
  <c r="F113" i="2" s="1"/>
  <c r="H112" i="2"/>
  <c r="D112" i="2"/>
  <c r="E112" i="2" s="1"/>
  <c r="F112" i="2" s="1"/>
  <c r="H111" i="2"/>
  <c r="D111" i="2"/>
  <c r="E111" i="2" s="1"/>
  <c r="F111" i="2" s="1"/>
  <c r="H110" i="2"/>
  <c r="D110" i="2"/>
  <c r="E110" i="2" s="1"/>
  <c r="F110" i="2" s="1"/>
  <c r="H109" i="2"/>
  <c r="D109" i="2"/>
  <c r="E109" i="2" s="1"/>
  <c r="F109" i="2" s="1"/>
  <c r="H108" i="2"/>
  <c r="D108" i="2"/>
  <c r="E108" i="2" s="1"/>
  <c r="F108" i="2" s="1"/>
  <c r="H107" i="2"/>
  <c r="D107" i="2"/>
  <c r="E107" i="2" s="1"/>
  <c r="F107" i="2" s="1"/>
  <c r="H106" i="2"/>
  <c r="I106" i="2" s="1"/>
  <c r="D106" i="2"/>
  <c r="E106" i="2" s="1"/>
  <c r="F106" i="2" s="1"/>
  <c r="H105" i="2"/>
  <c r="D105" i="2"/>
  <c r="E105" i="2" s="1"/>
  <c r="F105" i="2" s="1"/>
  <c r="H103" i="2"/>
  <c r="D103" i="2"/>
  <c r="E103" i="2" s="1"/>
  <c r="F103" i="2" s="1"/>
  <c r="H104" i="2"/>
  <c r="D104" i="2"/>
  <c r="I104" i="2" s="1"/>
  <c r="H102" i="2"/>
  <c r="D102" i="2"/>
  <c r="H101" i="2"/>
  <c r="D101" i="2"/>
  <c r="I101" i="2" s="1"/>
  <c r="H100" i="2"/>
  <c r="D100" i="2"/>
  <c r="I100" i="2" s="1"/>
  <c r="H99" i="2"/>
  <c r="D99" i="2"/>
  <c r="E99" i="2" s="1"/>
  <c r="F99" i="2" s="1"/>
  <c r="H98" i="2"/>
  <c r="D98" i="2"/>
  <c r="E98" i="2" s="1"/>
  <c r="F98" i="2" s="1"/>
  <c r="H97" i="2"/>
  <c r="D97" i="2"/>
  <c r="E97" i="2" s="1"/>
  <c r="F97" i="2" s="1"/>
  <c r="H96" i="2"/>
  <c r="D96" i="2"/>
  <c r="H95" i="2"/>
  <c r="D95" i="2"/>
  <c r="E95" i="2" s="1"/>
  <c r="F95" i="2" s="1"/>
  <c r="H94" i="2"/>
  <c r="D94" i="2"/>
  <c r="H93" i="2"/>
  <c r="D93" i="2"/>
  <c r="E93" i="2" s="1"/>
  <c r="F93" i="2" s="1"/>
  <c r="H92" i="2"/>
  <c r="D92" i="2"/>
  <c r="E92" i="2" s="1"/>
  <c r="F92" i="2" s="1"/>
  <c r="H91" i="2"/>
  <c r="D91" i="2"/>
  <c r="E91" i="2" s="1"/>
  <c r="F91" i="2" s="1"/>
  <c r="H90" i="2"/>
  <c r="D90" i="2"/>
  <c r="H89" i="2"/>
  <c r="D89" i="2"/>
  <c r="E89" i="2" s="1"/>
  <c r="F89" i="2" s="1"/>
  <c r="H88" i="2"/>
  <c r="D88" i="2"/>
  <c r="E88" i="2" s="1"/>
  <c r="F88" i="2" s="1"/>
  <c r="H87" i="2"/>
  <c r="D87" i="2"/>
  <c r="E87" i="2" s="1"/>
  <c r="F87" i="2" s="1"/>
  <c r="H86" i="2"/>
  <c r="D86" i="2"/>
  <c r="E86" i="2" s="1"/>
  <c r="F86" i="2" s="1"/>
  <c r="H85" i="2"/>
  <c r="D85" i="2"/>
  <c r="H84" i="2"/>
  <c r="D84" i="2"/>
  <c r="E84" i="2" s="1"/>
  <c r="F84" i="2" s="1"/>
  <c r="H83" i="2"/>
  <c r="D83" i="2"/>
  <c r="E83" i="2" s="1"/>
  <c r="F83" i="2" s="1"/>
  <c r="H82" i="2"/>
  <c r="D82" i="2"/>
  <c r="I82" i="2" s="1"/>
  <c r="H81" i="2"/>
  <c r="D81" i="2"/>
  <c r="H80" i="2"/>
  <c r="D80" i="2"/>
  <c r="E80" i="2" s="1"/>
  <c r="F80" i="2" s="1"/>
  <c r="H79" i="2"/>
  <c r="D79" i="2"/>
  <c r="H78" i="2"/>
  <c r="D78" i="2"/>
  <c r="E78" i="2" s="1"/>
  <c r="F78" i="2" s="1"/>
  <c r="H77" i="2"/>
  <c r="D77" i="2"/>
  <c r="E77" i="2" s="1"/>
  <c r="F77" i="2" s="1"/>
  <c r="H76" i="2"/>
  <c r="D76" i="2"/>
  <c r="H75" i="2"/>
  <c r="D75" i="2"/>
  <c r="I75" i="2" s="1"/>
  <c r="H74" i="2"/>
  <c r="D74" i="2"/>
  <c r="H73" i="2"/>
  <c r="D73" i="2"/>
  <c r="E73" i="2" s="1"/>
  <c r="F73" i="2" s="1"/>
  <c r="H72" i="2"/>
  <c r="D72" i="2"/>
  <c r="H71" i="2"/>
  <c r="D71" i="2"/>
  <c r="E71" i="2" s="1"/>
  <c r="F71" i="2" s="1"/>
  <c r="H70" i="2"/>
  <c r="D70" i="2"/>
  <c r="E70" i="2" s="1"/>
  <c r="F70" i="2" s="1"/>
  <c r="H69" i="2"/>
  <c r="D69" i="2"/>
  <c r="I69" i="2" s="1"/>
  <c r="H68" i="2"/>
  <c r="D68" i="2"/>
  <c r="H67" i="2"/>
  <c r="D67" i="2"/>
  <c r="H66" i="2"/>
  <c r="D66" i="2"/>
  <c r="E66" i="2" s="1"/>
  <c r="F66" i="2" s="1"/>
  <c r="H65" i="2"/>
  <c r="D65" i="2"/>
  <c r="E65" i="2" s="1"/>
  <c r="F65" i="2" s="1"/>
  <c r="H64" i="2"/>
  <c r="D64" i="2"/>
  <c r="E64" i="2" s="1"/>
  <c r="F64" i="2" s="1"/>
  <c r="H63" i="2"/>
  <c r="D63" i="2"/>
  <c r="H62" i="2"/>
  <c r="D62" i="2"/>
  <c r="E62" i="2" s="1"/>
  <c r="F62" i="2" s="1"/>
  <c r="H61" i="2"/>
  <c r="D61" i="2"/>
  <c r="E61" i="2" s="1"/>
  <c r="F61" i="2" s="1"/>
  <c r="H60" i="2"/>
  <c r="D60" i="2"/>
  <c r="H59" i="2"/>
  <c r="D59" i="2"/>
  <c r="I59" i="2" s="1"/>
  <c r="H58" i="2"/>
  <c r="D58" i="2"/>
  <c r="H57" i="2"/>
  <c r="D57" i="2"/>
  <c r="E57" i="2" s="1"/>
  <c r="F57" i="2" s="1"/>
  <c r="H56" i="2"/>
  <c r="D56" i="2"/>
  <c r="H55" i="2"/>
  <c r="E55" i="2"/>
  <c r="F55" i="2" s="1"/>
  <c r="D55" i="2"/>
  <c r="H54" i="2"/>
  <c r="D54" i="2"/>
  <c r="E54" i="2" s="1"/>
  <c r="F54" i="2" s="1"/>
  <c r="H53" i="2"/>
  <c r="D53" i="2"/>
  <c r="H52" i="2"/>
  <c r="D52" i="2"/>
  <c r="E52" i="2" s="1"/>
  <c r="F52" i="2" s="1"/>
  <c r="H51" i="2"/>
  <c r="D51" i="2"/>
  <c r="E51" i="2" s="1"/>
  <c r="F51" i="2" s="1"/>
  <c r="H50" i="2"/>
  <c r="D50" i="2"/>
  <c r="E50" i="2" s="1"/>
  <c r="F50" i="2" s="1"/>
  <c r="H49" i="2"/>
  <c r="D49" i="2"/>
  <c r="E49" i="2" s="1"/>
  <c r="F49" i="2" s="1"/>
  <c r="H48" i="2"/>
  <c r="D48" i="2"/>
  <c r="E48" i="2" s="1"/>
  <c r="F48" i="2" s="1"/>
  <c r="H47" i="2"/>
  <c r="D47" i="2"/>
  <c r="E47" i="2" s="1"/>
  <c r="F47" i="2" s="1"/>
  <c r="H46" i="2"/>
  <c r="D46" i="2"/>
  <c r="E46" i="2" s="1"/>
  <c r="F46" i="2" s="1"/>
  <c r="H45" i="2"/>
  <c r="D45" i="2"/>
  <c r="E45" i="2" s="1"/>
  <c r="F45" i="2" s="1"/>
  <c r="H44" i="2"/>
  <c r="D44" i="2"/>
  <c r="E44" i="2" s="1"/>
  <c r="F44" i="2" s="1"/>
  <c r="H43" i="2"/>
  <c r="D43" i="2"/>
  <c r="E43" i="2" s="1"/>
  <c r="F43" i="2" s="1"/>
  <c r="H42" i="2"/>
  <c r="D42" i="2"/>
  <c r="E42" i="2" s="1"/>
  <c r="F42" i="2" s="1"/>
  <c r="H41" i="2"/>
  <c r="D41" i="2"/>
  <c r="E41" i="2" s="1"/>
  <c r="F41" i="2" s="1"/>
  <c r="H40" i="2"/>
  <c r="D40" i="2"/>
  <c r="E40" i="2" s="1"/>
  <c r="F40" i="2" s="1"/>
  <c r="H39" i="2"/>
  <c r="D39" i="2"/>
  <c r="E39" i="2" s="1"/>
  <c r="F39" i="2" s="1"/>
  <c r="H38" i="2"/>
  <c r="D38" i="2"/>
  <c r="E38" i="2" s="1"/>
  <c r="F38" i="2" s="1"/>
  <c r="H37" i="2"/>
  <c r="D37" i="2"/>
  <c r="E37" i="2" s="1"/>
  <c r="F37" i="2" s="1"/>
  <c r="H36" i="2"/>
  <c r="D36" i="2"/>
  <c r="E36" i="2" s="1"/>
  <c r="F36" i="2" s="1"/>
  <c r="H35" i="2"/>
  <c r="I35" i="2" s="1"/>
  <c r="D35" i="2"/>
  <c r="E35" i="2" s="1"/>
  <c r="F35" i="2" s="1"/>
  <c r="H34" i="2"/>
  <c r="D34" i="2"/>
  <c r="E34" i="2" s="1"/>
  <c r="F34" i="2" s="1"/>
  <c r="H33" i="2"/>
  <c r="D33" i="2"/>
  <c r="E33" i="2" s="1"/>
  <c r="F33" i="2" s="1"/>
  <c r="H32" i="2"/>
  <c r="D32" i="2"/>
  <c r="E32" i="2" s="1"/>
  <c r="F32" i="2" s="1"/>
  <c r="D5" i="2"/>
  <c r="E5" i="2" s="1"/>
  <c r="F5" i="2" s="1"/>
  <c r="H5" i="2"/>
  <c r="D6" i="2"/>
  <c r="E6" i="2" s="1"/>
  <c r="F6" i="2" s="1"/>
  <c r="H6" i="2"/>
  <c r="D7" i="2"/>
  <c r="E7" i="2" s="1"/>
  <c r="F7" i="2" s="1"/>
  <c r="H7" i="2"/>
  <c r="D8" i="2"/>
  <c r="E8" i="2" s="1"/>
  <c r="F8" i="2" s="1"/>
  <c r="H8" i="2"/>
  <c r="D9" i="2"/>
  <c r="E9" i="2" s="1"/>
  <c r="F9" i="2" s="1"/>
  <c r="H9" i="2"/>
  <c r="D10" i="2"/>
  <c r="E10" i="2"/>
  <c r="F10" i="2" s="1"/>
  <c r="H10" i="2"/>
  <c r="B2" i="2"/>
  <c r="G2" i="2"/>
  <c r="H2" i="2" s="1"/>
  <c r="C40" i="7"/>
  <c r="P4" i="2"/>
  <c r="P2" i="2"/>
  <c r="H31" i="2"/>
  <c r="D31" i="2"/>
  <c r="E31" i="2" s="1"/>
  <c r="F31" i="2" s="1"/>
  <c r="H30" i="2"/>
  <c r="D30" i="2"/>
  <c r="E30" i="2" s="1"/>
  <c r="F30" i="2" s="1"/>
  <c r="H29" i="2"/>
  <c r="D29" i="2"/>
  <c r="E29" i="2" s="1"/>
  <c r="F29" i="2" s="1"/>
  <c r="H28" i="2"/>
  <c r="D28" i="2"/>
  <c r="E28" i="2" s="1"/>
  <c r="F28" i="2" s="1"/>
  <c r="H27" i="2"/>
  <c r="D27" i="2"/>
  <c r="E27" i="2" s="1"/>
  <c r="F27" i="2" s="1"/>
  <c r="H26" i="2"/>
  <c r="D26" i="2"/>
  <c r="E26" i="2" s="1"/>
  <c r="F26" i="2" s="1"/>
  <c r="H25" i="2"/>
  <c r="D25" i="2"/>
  <c r="E25" i="2" s="1"/>
  <c r="F25" i="2" s="1"/>
  <c r="H24" i="2"/>
  <c r="D24" i="2"/>
  <c r="E24" i="2" s="1"/>
  <c r="F24" i="2" s="1"/>
  <c r="H23" i="2"/>
  <c r="D23" i="2"/>
  <c r="E23" i="2" s="1"/>
  <c r="F23" i="2" s="1"/>
  <c r="H22" i="2"/>
  <c r="D22" i="2"/>
  <c r="E22" i="2" s="1"/>
  <c r="F22" i="2" s="1"/>
  <c r="H21" i="2"/>
  <c r="D21" i="2"/>
  <c r="E21" i="2" s="1"/>
  <c r="F21" i="2" s="1"/>
  <c r="H20" i="2"/>
  <c r="D20" i="2"/>
  <c r="E20" i="2" s="1"/>
  <c r="F20" i="2" s="1"/>
  <c r="H19" i="2"/>
  <c r="D19" i="2"/>
  <c r="E19" i="2" s="1"/>
  <c r="F19" i="2" s="1"/>
  <c r="H18" i="2"/>
  <c r="D18" i="2"/>
  <c r="E18" i="2" s="1"/>
  <c r="F18" i="2" s="1"/>
  <c r="H17" i="2"/>
  <c r="D17" i="2"/>
  <c r="E17" i="2" s="1"/>
  <c r="F17" i="2" s="1"/>
  <c r="H16" i="2"/>
  <c r="D16" i="2"/>
  <c r="E16" i="2" s="1"/>
  <c r="F16" i="2" s="1"/>
  <c r="H15" i="2"/>
  <c r="D15" i="2"/>
  <c r="E15" i="2" s="1"/>
  <c r="F15" i="2" s="1"/>
  <c r="H14" i="2"/>
  <c r="D14" i="2"/>
  <c r="E14" i="2" s="1"/>
  <c r="F14" i="2" s="1"/>
  <c r="H13" i="2"/>
  <c r="D13" i="2"/>
  <c r="E13" i="2" s="1"/>
  <c r="F13" i="2" s="1"/>
  <c r="H12" i="2"/>
  <c r="D12" i="2"/>
  <c r="H11" i="2"/>
  <c r="D11" i="2"/>
  <c r="E11" i="2" s="1"/>
  <c r="F11" i="2" s="1"/>
  <c r="B15" i="4"/>
  <c r="B12" i="4"/>
  <c r="B10" i="4"/>
  <c r="B11" i="4" s="1"/>
  <c r="C11" i="4" a="1"/>
  <c r="C11" i="4" s="1"/>
  <c r="B8" i="3"/>
  <c r="B9" i="3" s="1"/>
  <c r="B7" i="3"/>
  <c r="E2" i="1"/>
  <c r="F2" i="1" s="1"/>
  <c r="C2" i="1"/>
  <c r="B2" i="1"/>
  <c r="I90" i="2" l="1"/>
  <c r="I85" i="2"/>
  <c r="I128" i="2"/>
  <c r="I132" i="2"/>
  <c r="I56" i="2"/>
  <c r="I60" i="2"/>
  <c r="I76" i="2"/>
  <c r="I96" i="2"/>
  <c r="I122" i="2"/>
  <c r="I145" i="2"/>
  <c r="I103" i="2"/>
  <c r="I108" i="2"/>
  <c r="I112" i="2"/>
  <c r="I116" i="2"/>
  <c r="I61" i="2"/>
  <c r="I77" i="2"/>
  <c r="I97" i="2"/>
  <c r="I126" i="2"/>
  <c r="I130" i="2"/>
  <c r="E133" i="2"/>
  <c r="F133" i="2" s="1"/>
  <c r="I139" i="2"/>
  <c r="I5" i="2"/>
  <c r="I136" i="2"/>
  <c r="I143" i="2"/>
  <c r="I49" i="2"/>
  <c r="I114" i="2"/>
  <c r="I124" i="2"/>
  <c r="I127" i="2"/>
  <c r="I140" i="2"/>
  <c r="I146" i="2"/>
  <c r="E142" i="2"/>
  <c r="F142" i="2" s="1"/>
  <c r="E124" i="2"/>
  <c r="F124" i="2" s="1"/>
  <c r="E76" i="2"/>
  <c r="F76" i="2" s="1"/>
  <c r="I87" i="2"/>
  <c r="I91" i="2"/>
  <c r="E101" i="2"/>
  <c r="F101" i="2" s="1"/>
  <c r="I34" i="2"/>
  <c r="E59" i="2"/>
  <c r="F59" i="2" s="1"/>
  <c r="I98" i="2"/>
  <c r="I105" i="2"/>
  <c r="I109" i="2"/>
  <c r="I113" i="2"/>
  <c r="I80" i="2"/>
  <c r="I88" i="2"/>
  <c r="I92" i="2"/>
  <c r="I95" i="2"/>
  <c r="I99" i="2"/>
  <c r="I102" i="2"/>
  <c r="I117" i="2"/>
  <c r="I120" i="2"/>
  <c r="I110" i="2"/>
  <c r="I115" i="2"/>
  <c r="I118" i="2"/>
  <c r="I15" i="2"/>
  <c r="I89" i="2"/>
  <c r="I93" i="2"/>
  <c r="I43" i="2"/>
  <c r="I50" i="2"/>
  <c r="I57" i="2"/>
  <c r="I94" i="2"/>
  <c r="I107" i="2"/>
  <c r="I111" i="2"/>
  <c r="I33" i="2"/>
  <c r="E94" i="2"/>
  <c r="F94" i="2" s="1"/>
  <c r="I74" i="2"/>
  <c r="I81" i="2"/>
  <c r="I79" i="2"/>
  <c r="I72" i="2"/>
  <c r="I71" i="2"/>
  <c r="I67" i="2"/>
  <c r="I68" i="2"/>
  <c r="I65" i="2"/>
  <c r="I64" i="2"/>
  <c r="I63" i="2"/>
  <c r="I58" i="2"/>
  <c r="I83" i="2"/>
  <c r="E81" i="2"/>
  <c r="F81" i="2" s="1"/>
  <c r="I78" i="2"/>
  <c r="E75" i="2"/>
  <c r="F75" i="2" s="1"/>
  <c r="I73" i="2"/>
  <c r="I70" i="2"/>
  <c r="E67" i="2"/>
  <c r="F67" i="2" s="1"/>
  <c r="I66" i="2"/>
  <c r="I62" i="2"/>
  <c r="E115" i="2"/>
  <c r="F115" i="2" s="1"/>
  <c r="E114" i="2"/>
  <c r="F114" i="2" s="1"/>
  <c r="E104" i="2"/>
  <c r="F104" i="2" s="1"/>
  <c r="E102" i="2"/>
  <c r="F102" i="2" s="1"/>
  <c r="E100" i="2"/>
  <c r="F100" i="2" s="1"/>
  <c r="E96" i="2"/>
  <c r="F96" i="2" s="1"/>
  <c r="E90" i="2"/>
  <c r="F90" i="2" s="1"/>
  <c r="I86" i="2"/>
  <c r="E85" i="2"/>
  <c r="F85" i="2" s="1"/>
  <c r="I84" i="2"/>
  <c r="E82" i="2"/>
  <c r="F82" i="2" s="1"/>
  <c r="E79" i="2"/>
  <c r="F79" i="2" s="1"/>
  <c r="E74" i="2"/>
  <c r="F74" i="2" s="1"/>
  <c r="E72" i="2"/>
  <c r="F72" i="2" s="1"/>
  <c r="E69" i="2"/>
  <c r="F69" i="2" s="1"/>
  <c r="E68" i="2"/>
  <c r="F68" i="2" s="1"/>
  <c r="E63" i="2"/>
  <c r="F63" i="2" s="1"/>
  <c r="E56" i="2"/>
  <c r="F56" i="2" s="1"/>
  <c r="I55" i="2"/>
  <c r="I53" i="2"/>
  <c r="I54" i="2"/>
  <c r="E53" i="2"/>
  <c r="F53" i="2" s="1"/>
  <c r="I52" i="2"/>
  <c r="I51" i="2"/>
  <c r="I48" i="2"/>
  <c r="I46" i="2"/>
  <c r="I45" i="2"/>
  <c r="I44" i="2"/>
  <c r="E60" i="2"/>
  <c r="F60" i="2" s="1"/>
  <c r="E58" i="2"/>
  <c r="F58" i="2" s="1"/>
  <c r="I10" i="2"/>
  <c r="I36" i="2"/>
  <c r="I39" i="2"/>
  <c r="I42" i="2"/>
  <c r="I47" i="2"/>
  <c r="I6" i="2"/>
  <c r="I37" i="2"/>
  <c r="I40" i="2"/>
  <c r="I16" i="2"/>
  <c r="I38" i="2"/>
  <c r="I41" i="2"/>
  <c r="I8" i="2"/>
  <c r="I7" i="2"/>
  <c r="I32" i="2"/>
  <c r="I9" i="2"/>
  <c r="I25" i="2"/>
  <c r="I18" i="2"/>
  <c r="I14" i="2"/>
  <c r="I31" i="2"/>
  <c r="I20" i="2"/>
  <c r="I28" i="2"/>
  <c r="I13" i="2"/>
  <c r="I12" i="2"/>
  <c r="I11" i="2"/>
  <c r="E12" i="2"/>
  <c r="F12" i="2" s="1"/>
  <c r="I17" i="2"/>
  <c r="I24" i="2"/>
  <c r="I27" i="2"/>
  <c r="I30" i="2"/>
  <c r="I21" i="2"/>
  <c r="I22" i="2"/>
  <c r="I19" i="2"/>
  <c r="I23" i="2"/>
  <c r="I26" i="2"/>
  <c r="I29" i="2"/>
  <c r="B13" i="4"/>
  <c r="B16" i="4" s="1"/>
  <c r="B17" i="4" s="1"/>
  <c r="D2" i="2"/>
  <c r="I2" i="2" s="1"/>
  <c r="L2" i="2" s="1"/>
  <c r="L94" i="2" l="1"/>
  <c r="K94" i="2"/>
  <c r="L93" i="2"/>
  <c r="K93" i="2"/>
  <c r="K92" i="2"/>
  <c r="L92" i="2"/>
  <c r="K91" i="2"/>
  <c r="L91" i="2"/>
  <c r="K2" i="2"/>
  <c r="E2" i="2"/>
  <c r="F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423C21-A239-4641-B160-E73526274C5E}" keepAlive="1" interval="1" name="查詢 - 資料表 1" description="與活頁簿中 '資料表 1' 查詢的連接。" type="5" refreshedVersion="8" background="1" refreshOnLoad="1" saveData="1">
    <dbPr connection="Provider=Microsoft.Mashup.OleDb.1;Data Source=$Workbook$;Location=&quot;資料表 1&quot;;Extended Properties=&quot;&quot;" command="SELECT * FROM [資料表 1]"/>
  </connection>
  <connection id="2" xr16:uid="{1D93EDCE-ED69-4D7D-ACAA-AD58C34F9754}" keepAlive="1" interval="1" name="查詢 - 資料表 4" description="與活頁簿中 '資料表 4' 查詢的連接。" type="5" refreshedVersion="8" background="1" refreshOnLoad="1" saveData="1">
    <dbPr connection="Provider=Microsoft.Mashup.OleDb.1;Data Source=$Workbook$;Location=&quot;資料表 4&quot;;Extended Properties=&quot;&quot;" command="SELECT * FROM [資料表 4]"/>
  </connection>
  <connection id="3" xr16:uid="{D1C8518D-A513-441B-8B23-92D6AA24A58A}" keepAlive="1" interval="1" name="查詢 - 顯示的文字" description="與活頁簿中 '顯示的文字' 查詢的連接。" type="5" refreshedVersion="0" background="1" refreshOnLoad="1" saveData="1">
    <dbPr connection="Provider=Microsoft.Mashup.OleDb.1;Data Source=$Workbook$;Location=顯示的文字;Extended Properties=&quot;&quot;" command="SELECT * FROM [顯示的文字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<sst xmlns="http://schemas.openxmlformats.org/spreadsheetml/2006/main" count="173" uniqueCount="109">
  <si>
    <t>現股價S</t>
    <phoneticPr fontId="1" type="noConversion"/>
  </si>
  <si>
    <t>可轉換股數</t>
    <phoneticPr fontId="1" type="noConversion"/>
  </si>
  <si>
    <t>面額F</t>
    <phoneticPr fontId="1" type="noConversion"/>
  </si>
  <si>
    <t>轉換價值</t>
  </si>
  <si>
    <t>轉換價值</t>
    <phoneticPr fontId="1" type="noConversion"/>
  </si>
  <si>
    <t>理論CB價值</t>
    <phoneticPr fontId="1" type="noConversion"/>
  </si>
  <si>
    <t>理論上CB價格</t>
    <phoneticPr fontId="1" type="noConversion"/>
  </si>
  <si>
    <t>CB理論價值</t>
    <phoneticPr fontId="1" type="noConversion"/>
  </si>
  <si>
    <t>CB市場價值</t>
    <phoneticPr fontId="1" type="noConversion"/>
  </si>
  <si>
    <t>CB市場價格</t>
    <phoneticPr fontId="1" type="noConversion"/>
  </si>
  <si>
    <t>轉換溢價率(%)</t>
    <phoneticPr fontId="1" type="noConversion"/>
  </si>
  <si>
    <t>輸入區</t>
  </si>
  <si>
    <t>股票代號</t>
  </si>
  <si>
    <t>晶心科 (6533)</t>
  </si>
  <si>
    <t>轉換價格 (固定)</t>
  </si>
  <si>
    <t>自動計算區</t>
  </si>
  <si>
    <t>轉換溢價率 (%)</t>
  </si>
  <si>
    <t>價值評估</t>
  </si>
  <si>
    <t>CB市價 (手動)</t>
  </si>
  <si>
    <t>(請在此輸入當下價格)</t>
  </si>
  <si>
    <t>股票現價 (手動)</t>
  </si>
  <si>
    <t>CB理論價格</t>
    <phoneticPr fontId="1" type="noConversion"/>
  </si>
  <si>
    <t>參數</t>
  </si>
  <si>
    <t>值</t>
  </si>
  <si>
    <t>說明/公式</t>
  </si>
  <si>
    <t>面額 (FV)</t>
  </si>
  <si>
    <t>文件固定，每張10萬元</t>
  </si>
  <si>
    <t>轉換價 (CP)</t>
  </si>
  <si>
    <t>文件初始，可調整最新</t>
  </si>
  <si>
    <t>剩餘年限 (T)</t>
  </si>
  <si>
    <t>(到期日-今日)/365，約3年</t>
  </si>
  <si>
    <t>折現率 (r)</t>
  </si>
  <si>
    <t>假設2%，可調為3-5%</t>
  </si>
  <si>
    <t>期权溢價率 (OP%)</t>
  </si>
  <si>
    <t>假設5%，高波動調高</t>
  </si>
  <si>
    <t>現股價 (S)</t>
  </si>
  <si>
    <t>&lt;&lt;輸入這裡！（e.g., 6533現在股價)&gt;&gt;</t>
  </si>
  <si>
    <t>計算結果</t>
  </si>
  <si>
    <t>公式 (在B欄輸入)</t>
  </si>
  <si>
    <t>轉換比率 (CR)</t>
  </si>
  <si>
    <t>≈324.675</t>
  </si>
  <si>
    <t>轉換價值 (CV)</t>
  </si>
  <si>
    <t>純債價值 (SBV)</t>
  </si>
  <si>
    <t>=FV / (1+r)^T</t>
  </si>
  <si>
    <t>理論CB價 (TP)</t>
  </si>
  <si>
    <t>max(SBV,CV) + OP</t>
  </si>
  <si>
    <t>&lt;&lt;輸入這裡！（櫃買查CB市場價)&gt;&gt;</t>
  </si>
  <si>
    <t>溢價率 (%)</t>
  </si>
  <si>
    <t>(Mkt - TP)/TP</t>
  </si>
  <si>
    <t>判斷</t>
  </si>
  <si>
    <t>一眼看結果！</t>
  </si>
  <si>
    <r>
      <rPr>
        <sz val="8"/>
        <color rgb="FF303030"/>
        <rFont val="微軟正黑體"/>
        <family val="2"/>
        <charset val="136"/>
      </rPr>
      <t>市場</t>
    </r>
    <r>
      <rPr>
        <sz val="8"/>
        <color rgb="FF303030"/>
        <rFont val="Segoe UI"/>
        <family val="2"/>
      </rPr>
      <t>CB</t>
    </r>
    <r>
      <rPr>
        <sz val="8"/>
        <color rgb="FF303030"/>
        <rFont val="微軟正黑體"/>
        <family val="2"/>
        <charset val="136"/>
      </rPr>
      <t>價</t>
    </r>
    <r>
      <rPr>
        <sz val="8"/>
        <color rgb="FF303030"/>
        <rFont val="Segoe UI"/>
        <family val="2"/>
      </rPr>
      <t xml:space="preserve"> (Mkt)</t>
    </r>
    <phoneticPr fontId="1" type="noConversion"/>
  </si>
  <si>
    <r>
      <rPr>
        <sz val="8"/>
        <color rgb="FF303030"/>
        <rFont val="微軟正黑體"/>
        <family val="2"/>
        <charset val="136"/>
      </rPr>
      <t>市場</t>
    </r>
    <r>
      <rPr>
        <sz val="8"/>
        <color rgb="FF303030"/>
        <rFont val="Segoe UI"/>
        <family val="2"/>
      </rPr>
      <t>CB</t>
    </r>
    <r>
      <rPr>
        <sz val="8"/>
        <color rgb="FF303030"/>
        <rFont val="微軟正黑體"/>
        <family val="2"/>
        <charset val="136"/>
      </rPr>
      <t>價值</t>
    </r>
    <r>
      <rPr>
        <sz val="8"/>
        <color rgb="FF303030"/>
        <rFont val="Segoe UI"/>
        <family val="2"/>
      </rPr>
      <t xml:space="preserve"> (Mkt)</t>
    </r>
    <phoneticPr fontId="1" type="noConversion"/>
  </si>
  <si>
    <t>日期</t>
    <phoneticPr fontId="1" type="noConversion"/>
  </si>
  <si>
    <t>買入現股股數</t>
    <phoneticPr fontId="1" type="noConversion"/>
  </si>
  <si>
    <t>賣出CB股數</t>
    <phoneticPr fontId="1" type="noConversion"/>
  </si>
  <si>
    <t>賣出現股股數</t>
    <phoneticPr fontId="1" type="noConversion"/>
  </si>
  <si>
    <t>買入CB股數</t>
    <phoneticPr fontId="1" type="noConversion"/>
  </si>
  <si>
    <t>溢價率 (H2)</t>
  </si>
  <si>
    <t>您的指令</t>
  </si>
  <si>
    <t>&lt; 0%</t>
  </si>
  <si>
    <t>0% ~ 3.5%</t>
  </si>
  <si>
    <t>3.5% ~ 7%</t>
  </si>
  <si>
    <t>7% ~ 15%</t>
  </si>
  <si>
    <t>15% ~ 30%</t>
  </si>
  <si>
    <t>&gt; 30%</t>
  </si>
  <si>
    <t>轉換價</t>
    <phoneticPr fontId="1" type="noConversion"/>
  </si>
  <si>
    <t>RealTime</t>
    <phoneticPr fontId="1" type="noConversion"/>
  </si>
  <si>
    <t>Column1</t>
  </si>
  <si>
    <t>Column2</t>
  </si>
  <si>
    <t>成交</t>
  </si>
  <si>
    <t>開盤</t>
  </si>
  <si>
    <t>最高</t>
  </si>
  <si>
    <t>最低</t>
  </si>
  <si>
    <t>均價</t>
  </si>
  <si>
    <t>成交金額(億)</t>
  </si>
  <si>
    <t>昨收</t>
  </si>
  <si>
    <t>漲跌幅</t>
  </si>
  <si>
    <t>漲跌</t>
  </si>
  <si>
    <t>總量</t>
  </si>
  <si>
    <t>昨量</t>
  </si>
  <si>
    <t>振幅</t>
  </si>
  <si>
    <t>現股價格</t>
    <phoneticPr fontId="1" type="noConversion"/>
  </si>
  <si>
    <t>手動輸入</t>
    <phoneticPr fontId="1" type="noConversion"/>
  </si>
  <si>
    <t>修正後的策略思維 (優化後)</t>
  </si>
  <si>
    <r>
      <t>您的結論：「</t>
    </r>
    <r>
      <rPr>
        <sz val="8"/>
        <color rgb="FF303030"/>
        <rFont val="Segoe UI"/>
        <family val="2"/>
      </rPr>
      <t>就想成 CB 是履約期三年 行使比例0.324 履約價為0 但有保底100的權證，只不過過他沒有到期強制履約的規則，必須要自己在閉鎖期後轉換</t>
    </r>
    <r>
      <rPr>
        <sz val="8"/>
        <color rgb="FF303030"/>
        <rFont val="Segoe UI"/>
        <family val="2"/>
      </rPr>
      <t>」，</t>
    </r>
  </si>
  <si>
    <r>
      <t>是一個非常棒且易於理解的類比，尤其強調了</t>
    </r>
    <r>
      <rPr>
        <sz val="8"/>
        <color rgb="FF303030"/>
        <rFont val="Segoe UI"/>
        <family val="2"/>
      </rPr>
      <t>有保底</t>
    </r>
    <r>
      <rPr>
        <sz val="8"/>
        <color rgb="FF303030"/>
        <rFont val="Segoe UI"/>
        <family val="2"/>
      </rPr>
      <t>和</t>
    </r>
    <r>
      <rPr>
        <sz val="8"/>
        <color rgb="FF303030"/>
        <rFont val="Segoe UI"/>
        <family val="2"/>
      </rPr>
      <t>手動轉換</t>
    </r>
    <r>
      <rPr>
        <sz val="8"/>
        <color rgb="FF303030"/>
        <rFont val="Segoe UI"/>
        <family val="2"/>
      </rPr>
      <t>這兩個關鍵差異。</t>
    </r>
  </si>
  <si>
    <r>
      <t>如果我必須微調，我會建議將「履約價為0」改為「</t>
    </r>
    <r>
      <rPr>
        <sz val="8"/>
        <color rgb="FF303030"/>
        <rFont val="Segoe UI"/>
        <family val="2"/>
      </rPr>
      <t>轉換時無需額外支付現金</t>
    </r>
    <r>
      <rPr>
        <sz val="8"/>
        <color rgb="FF303030"/>
        <rFont val="Segoe UI"/>
        <family val="2"/>
      </rPr>
      <t>」或「</t>
    </r>
    <r>
      <rPr>
        <sz val="8"/>
        <color rgb="FF303030"/>
        <rFont val="Segoe UI"/>
        <family val="2"/>
      </rPr>
      <t>用債券面額換取股票</t>
    </r>
    <r>
      <rPr>
        <sz val="8"/>
        <color rgb="FF303030"/>
        <rFont val="Segoe UI"/>
        <family val="2"/>
      </rPr>
      <t>」，這樣會更符合 CB 的會計和法律定義。但整體而言，您的理解已經非常到位了！</t>
    </r>
  </si>
  <si>
    <r>
      <rPr>
        <sz val="8"/>
        <color rgb="FF303030"/>
        <rFont val="微軟正黑體"/>
        <family val="2"/>
        <charset val="136"/>
      </rPr>
      <t>馬上買</t>
    </r>
    <r>
      <rPr>
        <sz val="8"/>
        <color rgb="FF303030"/>
        <rFont val="Segoe UI"/>
        <family val="2"/>
      </rPr>
      <t xml:space="preserve">CB, </t>
    </r>
    <r>
      <rPr>
        <sz val="8"/>
        <color rgb="FF303030"/>
        <rFont val="微軟正黑體"/>
        <family val="2"/>
        <charset val="136"/>
      </rPr>
      <t>賣現股</t>
    </r>
    <r>
      <rPr>
        <sz val="8"/>
        <color rgb="FF303030"/>
        <rFont val="Segoe UI"/>
        <family val="2"/>
      </rPr>
      <t xml:space="preserve"> (</t>
    </r>
    <r>
      <rPr>
        <sz val="8"/>
        <color rgb="FF303030"/>
        <rFont val="細明體"/>
        <family val="2"/>
        <charset val="136"/>
      </rPr>
      <t>或有轉換價值</t>
    </r>
    <r>
      <rPr>
        <sz val="8"/>
        <color rgb="FF303030"/>
        <rFont val="Segoe UI"/>
        <family val="2"/>
      </rPr>
      <t>)</t>
    </r>
    <phoneticPr fontId="1" type="noConversion"/>
  </si>
  <si>
    <r>
      <rPr>
        <sz val="8"/>
        <color rgb="FF303030"/>
        <rFont val="微軟正黑體"/>
        <family val="2"/>
        <charset val="136"/>
      </rPr>
      <t>中立</t>
    </r>
    <r>
      <rPr>
        <sz val="8"/>
        <color rgb="FF303030"/>
        <rFont val="Segoe UI"/>
        <family val="2"/>
      </rPr>
      <t xml:space="preserve"> (</t>
    </r>
    <r>
      <rPr>
        <sz val="8"/>
        <color rgb="FF303030"/>
        <rFont val="細明體"/>
        <family val="2"/>
        <charset val="136"/>
      </rPr>
      <t>到期日前還是得轉換</t>
    </r>
    <r>
      <rPr>
        <sz val="8"/>
        <color rgb="FF303030"/>
        <rFont val="Segoe UI"/>
        <family val="2"/>
      </rPr>
      <t>)</t>
    </r>
    <phoneticPr fontId="1" type="noConversion"/>
  </si>
  <si>
    <r>
      <rPr>
        <sz val="8"/>
        <color rgb="FF303030"/>
        <rFont val="微軟正黑體"/>
        <family val="2"/>
        <charset val="136"/>
      </rPr>
      <t>考慮賣</t>
    </r>
    <r>
      <rPr>
        <sz val="8"/>
        <color rgb="FF303030"/>
        <rFont val="Segoe UI"/>
        <family val="2"/>
      </rPr>
      <t xml:space="preserve">CB, </t>
    </r>
    <r>
      <rPr>
        <sz val="8"/>
        <color rgb="FF303030"/>
        <rFont val="微軟正黑體"/>
        <family val="2"/>
        <charset val="136"/>
      </rPr>
      <t>買現股</t>
    </r>
    <r>
      <rPr>
        <sz val="8"/>
        <color rgb="FF303030"/>
        <rFont val="Segoe UI"/>
        <family val="2"/>
      </rPr>
      <t xml:space="preserve"> (</t>
    </r>
    <r>
      <rPr>
        <sz val="8"/>
        <color rgb="FF303030"/>
        <rFont val="細明體"/>
        <family val="2"/>
        <charset val="136"/>
      </rPr>
      <t>到期日前還是得轉換</t>
    </r>
    <r>
      <rPr>
        <sz val="8"/>
        <color rgb="FF303030"/>
        <rFont val="Segoe UI"/>
        <family val="2"/>
      </rPr>
      <t>)</t>
    </r>
    <phoneticPr fontId="1" type="noConversion"/>
  </si>
  <si>
    <r>
      <rPr>
        <sz val="8"/>
        <color rgb="FF303030"/>
        <rFont val="微軟正黑體"/>
        <family val="2"/>
        <charset val="136"/>
      </rPr>
      <t>賣出</t>
    </r>
    <r>
      <rPr>
        <sz val="8"/>
        <color rgb="FF303030"/>
        <rFont val="Segoe UI"/>
        <family val="2"/>
      </rPr>
      <t xml:space="preserve">CB, </t>
    </r>
    <r>
      <rPr>
        <sz val="8"/>
        <color rgb="FF303030"/>
        <rFont val="微軟正黑體"/>
        <family val="2"/>
        <charset val="136"/>
      </rPr>
      <t>買入現股</t>
    </r>
    <r>
      <rPr>
        <sz val="8"/>
        <color rgb="FF303030"/>
        <rFont val="Segoe UI"/>
        <family val="2"/>
      </rPr>
      <t xml:space="preserve"> (</t>
    </r>
    <r>
      <rPr>
        <sz val="8"/>
        <color rgb="FF303030"/>
        <rFont val="細明體"/>
        <family val="2"/>
        <charset val="136"/>
      </rPr>
      <t>到期日前還是得轉換</t>
    </r>
    <r>
      <rPr>
        <sz val="8"/>
        <color rgb="FF303030"/>
        <rFont val="Segoe UI"/>
        <family val="2"/>
      </rPr>
      <t>)</t>
    </r>
    <phoneticPr fontId="1" type="noConversion"/>
  </si>
  <si>
    <r>
      <rPr>
        <sz val="8"/>
        <color rgb="FF303030"/>
        <rFont val="微軟正黑體"/>
        <family val="2"/>
        <charset val="136"/>
      </rPr>
      <t>馬上賣出</t>
    </r>
    <r>
      <rPr>
        <sz val="8"/>
        <color rgb="FF303030"/>
        <rFont val="Segoe UI"/>
        <family val="2"/>
      </rPr>
      <t xml:space="preserve">CB, </t>
    </r>
    <r>
      <rPr>
        <sz val="8"/>
        <color rgb="FF303030"/>
        <rFont val="微軟正黑體"/>
        <family val="2"/>
        <charset val="136"/>
      </rPr>
      <t>買入現股</t>
    </r>
    <r>
      <rPr>
        <sz val="8"/>
        <color rgb="FF303030"/>
        <rFont val="Segoe UI"/>
        <family val="2"/>
      </rPr>
      <t xml:space="preserve"> (</t>
    </r>
    <r>
      <rPr>
        <sz val="8"/>
        <color rgb="FF303030"/>
        <rFont val="細明體"/>
        <family val="2"/>
        <charset val="136"/>
      </rPr>
      <t>到期日前還是得轉換</t>
    </r>
    <r>
      <rPr>
        <sz val="8"/>
        <color rgb="FF303030"/>
        <rFont val="Segoe UI"/>
        <family val="2"/>
      </rPr>
      <t>)</t>
    </r>
    <phoneticPr fontId="1" type="noConversion"/>
  </si>
  <si>
    <r>
      <rPr>
        <sz val="8"/>
        <color rgb="FF303030"/>
        <rFont val="微軟正黑體"/>
        <family val="2"/>
        <charset val="136"/>
      </rPr>
      <t>安心持有</t>
    </r>
    <r>
      <rPr>
        <sz val="8"/>
        <color rgb="FF303030"/>
        <rFont val="微軟正黑體"/>
        <family val="2"/>
        <charset val="136"/>
      </rPr>
      <t>：價格合理，享受</t>
    </r>
    <r>
      <rPr>
        <sz val="8"/>
        <color rgb="FF303030"/>
        <rFont val="Segoe UI"/>
        <family val="2"/>
      </rPr>
      <t>CB</t>
    </r>
    <r>
      <rPr>
        <sz val="8"/>
        <color rgb="FF303030"/>
        <rFont val="微軟正黑體"/>
        <family val="2"/>
        <charset val="136"/>
      </rPr>
      <t>攻守兼備的特性。</t>
    </r>
    <r>
      <rPr>
        <sz val="8"/>
        <color rgb="FF303030"/>
        <rFont val="Segoe UI"/>
        <family val="2"/>
      </rPr>
      <t>(</t>
    </r>
    <r>
      <rPr>
        <sz val="8"/>
        <color rgb="FF303030"/>
        <rFont val="細明體"/>
        <family val="2"/>
        <charset val="136"/>
      </rPr>
      <t>到期日前還是得轉換</t>
    </r>
    <r>
      <rPr>
        <sz val="8"/>
        <color rgb="FF303030"/>
        <rFont val="Segoe UI"/>
        <family val="2"/>
      </rPr>
      <t>)</t>
    </r>
    <phoneticPr fontId="1" type="noConversion"/>
  </si>
  <si>
    <r>
      <rPr>
        <sz val="8"/>
        <color rgb="FF303030"/>
        <rFont val="微軟正黑體"/>
        <family val="2"/>
        <charset val="136"/>
      </rPr>
      <t>考慮買</t>
    </r>
    <r>
      <rPr>
        <sz val="8"/>
        <color rgb="FF303030"/>
        <rFont val="Segoe UI"/>
        <family val="2"/>
      </rPr>
      <t xml:space="preserve">CB, </t>
    </r>
    <r>
      <rPr>
        <sz val="8"/>
        <color rgb="FF303030"/>
        <rFont val="微軟正黑體"/>
        <family val="2"/>
        <charset val="136"/>
      </rPr>
      <t>賣現股</t>
    </r>
    <r>
      <rPr>
        <sz val="8"/>
        <color rgb="FF303030"/>
        <rFont val="Segoe UI"/>
        <family val="2"/>
      </rPr>
      <t xml:space="preserve"> (</t>
    </r>
    <r>
      <rPr>
        <sz val="8"/>
        <color rgb="FF303030"/>
        <rFont val="細明體"/>
        <family val="2"/>
        <charset val="136"/>
      </rPr>
      <t>到期日前還是得轉換</t>
    </r>
    <r>
      <rPr>
        <sz val="8"/>
        <color rgb="FF303030"/>
        <rFont val="Segoe UI"/>
        <family val="2"/>
      </rPr>
      <t>)</t>
    </r>
    <phoneticPr fontId="1" type="noConversion"/>
  </si>
  <si>
    <t>動作指令</t>
    <phoneticPr fontId="1" type="noConversion"/>
  </si>
  <si>
    <t>說明理由</t>
    <phoneticPr fontId="1" type="noConversion"/>
  </si>
  <si>
    <t>出入紀錄</t>
    <phoneticPr fontId="1" type="noConversion"/>
  </si>
  <si>
    <t>買入CB, 102 x 49</t>
    <phoneticPr fontId="1" type="noConversion"/>
  </si>
  <si>
    <t>現股股數</t>
    <phoneticPr fontId="1" type="noConversion"/>
  </si>
  <si>
    <t>CB股數</t>
    <phoneticPr fontId="1" type="noConversion"/>
  </si>
  <si>
    <t>Date</t>
    <phoneticPr fontId="1" type="noConversion"/>
  </si>
  <si>
    <t>總股數</t>
    <phoneticPr fontId="1" type="noConversion"/>
  </si>
  <si>
    <t>差距(正:賣現股)</t>
    <phoneticPr fontId="1" type="noConversion"/>
  </si>
  <si>
    <r>
      <rPr>
        <sz val="8"/>
        <color rgb="FF303030"/>
        <rFont val="微軟正黑體"/>
        <family val="2"/>
        <charset val="136"/>
      </rPr>
      <t>評估信心</t>
    </r>
    <r>
      <rPr>
        <sz val="8"/>
        <color rgb="FF303030"/>
        <rFont val="Segoe UI"/>
        <family val="2"/>
      </rPr>
      <t xml:space="preserve"> (1)</t>
    </r>
    <r>
      <rPr>
        <sz val="8"/>
        <color rgb="FF303030"/>
        <rFont val="微軟正黑體"/>
        <family val="2"/>
        <charset val="136"/>
      </rPr>
      <t>：保險費開始變貴，開始問自己：我是否該為了更高報酬而放棄保險？</t>
    </r>
    <r>
      <rPr>
        <sz val="8"/>
        <color rgb="FF303030"/>
        <rFont val="Segoe UI"/>
        <family val="2"/>
      </rPr>
      <t>(</t>
    </r>
    <r>
      <rPr>
        <sz val="8"/>
        <color rgb="FF303030"/>
        <rFont val="細明體"/>
        <family val="2"/>
        <charset val="136"/>
      </rPr>
      <t>到期日前還是得轉換</t>
    </r>
    <r>
      <rPr>
        <sz val="8"/>
        <color rgb="FF303030"/>
        <rFont val="Segoe UI"/>
        <family val="2"/>
      </rPr>
      <t>)</t>
    </r>
    <phoneticPr fontId="1" type="noConversion"/>
  </si>
  <si>
    <r>
      <rPr>
        <sz val="8"/>
        <color rgb="FF303030"/>
        <rFont val="微軟正黑體"/>
        <family val="2"/>
        <charset val="136"/>
      </rPr>
      <t>評估信心</t>
    </r>
    <r>
      <rPr>
        <sz val="8"/>
        <color rgb="FF303030"/>
        <rFont val="Segoe UI"/>
        <family val="2"/>
      </rPr>
      <t xml:space="preserve"> (2)</t>
    </r>
    <r>
      <rPr>
        <sz val="8"/>
        <color rgb="FF303030"/>
        <rFont val="微軟正黑體"/>
        <family val="2"/>
        <charset val="136"/>
      </rPr>
      <t>：保險費很貴！若非極度看好後市，否則持有現股的機會成本很高。以最大化潛在獲利。</t>
    </r>
    <r>
      <rPr>
        <sz val="8"/>
        <color rgb="FF303030"/>
        <rFont val="Segoe UI"/>
        <family val="2"/>
      </rPr>
      <t>(</t>
    </r>
    <r>
      <rPr>
        <sz val="8"/>
        <color rgb="FF303030"/>
        <rFont val="細明體"/>
        <family val="2"/>
        <charset val="136"/>
      </rPr>
      <t>到期日前還是得轉換</t>
    </r>
    <r>
      <rPr>
        <sz val="8"/>
        <color rgb="FF303030"/>
        <rFont val="Segoe UI"/>
        <family val="2"/>
      </rPr>
      <t>)</t>
    </r>
    <phoneticPr fontId="1" type="noConversion"/>
  </si>
  <si>
    <r>
      <rPr>
        <sz val="8"/>
        <color rgb="FF303030"/>
        <rFont val="微軟正黑體"/>
        <family val="2"/>
        <charset val="136"/>
      </rPr>
      <t>強烈行動訊號：保險費極貴！將「帳面獲利」轉化為「實際報酬潛力」，避免因高溢價而壓縮未來上漲空間。</t>
    </r>
    <r>
      <rPr>
        <sz val="8"/>
        <color rgb="FF303030"/>
        <rFont val="Segoe UI"/>
        <family val="2"/>
      </rPr>
      <t>(</t>
    </r>
    <r>
      <rPr>
        <sz val="8"/>
        <color rgb="FF303030"/>
        <rFont val="細明體"/>
        <family val="2"/>
        <charset val="136"/>
      </rPr>
      <t>到期日前還是得轉換</t>
    </r>
    <r>
      <rPr>
        <sz val="8"/>
        <color rgb="FF303030"/>
        <rFont val="Segoe UI"/>
        <family val="2"/>
      </rPr>
      <t>)</t>
    </r>
    <phoneticPr fontId="1" type="noConversion"/>
  </si>
  <si>
    <r>
      <rPr>
        <sz val="8"/>
        <color rgb="FF303030"/>
        <rFont val="微軟正黑體"/>
        <family val="2"/>
        <charset val="136"/>
      </rPr>
      <t>套利警報：訊號出現！立即精算所有交易成本，確認利潤空間。</t>
    </r>
    <r>
      <rPr>
        <sz val="8"/>
        <color rgb="FF303030"/>
        <rFont val="Segoe UI"/>
        <family val="2"/>
      </rPr>
      <t>(</t>
    </r>
    <r>
      <rPr>
        <sz val="8"/>
        <color rgb="FF303030"/>
        <rFont val="細明體"/>
        <family val="2"/>
        <charset val="136"/>
      </rPr>
      <t>或有轉換價值</t>
    </r>
    <r>
      <rPr>
        <sz val="8"/>
        <color rgb="FF303030"/>
        <rFont val="Segoe UI"/>
        <family val="2"/>
      </rPr>
      <t>)</t>
    </r>
    <phoneticPr fontId="1" type="noConversion"/>
  </si>
  <si>
    <r>
      <rPr>
        <sz val="8"/>
        <color rgb="FF303030"/>
        <rFont val="微軟正黑體"/>
        <family val="2"/>
        <charset val="136"/>
      </rPr>
      <t>最佳買點：此時買入</t>
    </r>
    <r>
      <rPr>
        <sz val="8"/>
        <color rgb="FF303030"/>
        <rFont val="Segoe UI"/>
        <family val="2"/>
      </rPr>
      <t>CB</t>
    </r>
    <r>
      <rPr>
        <sz val="8"/>
        <color rgb="FF303030"/>
        <rFont val="微軟正黑體"/>
        <family val="2"/>
        <charset val="136"/>
      </rPr>
      <t>的性價比最高，是建立多頭部位的首選。</t>
    </r>
    <r>
      <rPr>
        <sz val="8"/>
        <color rgb="FF303030"/>
        <rFont val="Segoe UI"/>
        <family val="2"/>
      </rPr>
      <t>(</t>
    </r>
    <r>
      <rPr>
        <sz val="8"/>
        <color rgb="FF303030"/>
        <rFont val="細明體"/>
        <family val="2"/>
        <charset val="136"/>
      </rPr>
      <t>到期日前還是得轉換</t>
    </r>
    <r>
      <rPr>
        <sz val="8"/>
        <color rgb="FF303030"/>
        <rFont val="Segoe UI"/>
        <family val="2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</si>
</sst>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"/>
    <numFmt numFmtId="177" formatCode="#,##0_ "/>
  </numFmts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24292E"/>
      <name val="新細明體"/>
      <family val="1"/>
      <charset val="136"/>
    </font>
    <font>
      <sz val="8"/>
      <color rgb="FF303030"/>
      <name val="Segoe UI"/>
      <family val="2"/>
    </font>
    <font>
      <sz val="8"/>
      <color rgb="FF303030"/>
      <name val="Segoe UI"/>
      <family val="2"/>
    </font>
    <font>
      <sz val="7"/>
      <color rgb="FF303030"/>
      <name val="Consolas"/>
      <family val="3"/>
    </font>
    <font>
      <i/>
      <sz val="8"/>
      <color rgb="FF303030"/>
      <name val="Segoe UI"/>
      <family val="2"/>
    </font>
    <font>
      <sz val="7"/>
      <color rgb="FF303030"/>
      <name val="Consolas"/>
      <family val="3"/>
    </font>
    <font>
      <sz val="8"/>
      <color rgb="FF303030"/>
      <name val="微軟正黑體"/>
      <family val="2"/>
      <charset val="136"/>
    </font>
    <font>
      <sz val="8"/>
      <color rgb="FF303030"/>
      <name val="Segoe UI"/>
      <family val="2"/>
      <charset val="136"/>
    </font>
    <font>
      <sz val="8"/>
      <color rgb="FF303030"/>
      <name val="Segoe UI"/>
      <family val="2"/>
    </font>
    <font>
      <sz val="8"/>
      <color rgb="FF303030"/>
      <name val="細明體"/>
      <family val="2"/>
      <charset val="136"/>
    </font>
    <font>
      <sz val="8"/>
      <color rgb="FF303030"/>
      <name val="Segoe UI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176" fontId="0" fillId="0" borderId="0" xfId="0" applyNumberFormat="1">
      <alignment vertical="center"/>
    </xf>
    <xf numFmtId="0" fontId="10" fillId="3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9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</cellXfs>
  <cellStyles count="1">
    <cellStyle name="一般" xfId="0" builtinId="0"/>
  </cellStyles>
  <dxfs count="44">
    <dxf>
      <fill>
        <patternFill>
          <bgColor rgb="FF468847"/>
        </patternFill>
      </fill>
    </dxf>
    <dxf>
      <fill>
        <patternFill>
          <bgColor rgb="FF92D050"/>
        </patternFill>
      </fill>
    </dxf>
    <dxf>
      <fill>
        <patternFill>
          <bgColor rgb="FFFFF2CC"/>
        </patternFill>
      </fill>
    </dxf>
    <dxf>
      <fill>
        <patternFill>
          <bgColor rgb="FFFFC7CE"/>
        </patternFill>
      </fill>
    </dxf>
    <dxf>
      <fill>
        <patternFill>
          <bgColor rgb="FFFF6666"/>
        </patternFill>
      </fill>
    </dxf>
    <dxf>
      <fill>
        <patternFill>
          <bgColor rgb="FFC45911"/>
        </patternFill>
      </fill>
    </dxf>
    <dxf>
      <fill>
        <patternFill>
          <bgColor rgb="FFB4C6E7"/>
        </patternFill>
      </fill>
    </dxf>
    <dxf>
      <fill>
        <patternFill>
          <bgColor rgb="FF468847"/>
        </patternFill>
      </fill>
    </dxf>
    <dxf>
      <fill>
        <patternFill>
          <bgColor rgb="FF92D050"/>
        </patternFill>
      </fill>
    </dxf>
    <dxf>
      <fill>
        <patternFill>
          <bgColor rgb="FFFFF2CC"/>
        </patternFill>
      </fill>
    </dxf>
    <dxf>
      <fill>
        <patternFill>
          <bgColor rgb="FFFFC7CE"/>
        </patternFill>
      </fill>
    </dxf>
    <dxf>
      <fill>
        <patternFill>
          <bgColor rgb="FFFF6666"/>
        </patternFill>
      </fill>
    </dxf>
    <dxf>
      <fill>
        <patternFill>
          <bgColor rgb="FFC45911"/>
        </patternFill>
      </fill>
    </dxf>
    <dxf>
      <fill>
        <patternFill>
          <bgColor rgb="FFB4C6E7"/>
        </patternFill>
      </fill>
    </dxf>
    <dxf>
      <fill>
        <patternFill>
          <bgColor rgb="FF468847"/>
        </patternFill>
      </fill>
    </dxf>
    <dxf>
      <fill>
        <patternFill>
          <bgColor rgb="FF92D050"/>
        </patternFill>
      </fill>
    </dxf>
    <dxf>
      <fill>
        <patternFill>
          <bgColor rgb="FFFFF2CC"/>
        </patternFill>
      </fill>
    </dxf>
    <dxf>
      <fill>
        <patternFill>
          <bgColor rgb="FFFFC7CE"/>
        </patternFill>
      </fill>
    </dxf>
    <dxf>
      <fill>
        <patternFill>
          <bgColor rgb="FFFF6666"/>
        </patternFill>
      </fill>
    </dxf>
    <dxf>
      <fill>
        <patternFill>
          <bgColor rgb="FFC45911"/>
        </patternFill>
      </fill>
    </dxf>
    <dxf>
      <fill>
        <patternFill>
          <bgColor rgb="FFB4C6E7"/>
        </patternFill>
      </fill>
    </dxf>
    <dxf>
      <fill>
        <patternFill>
          <bgColor rgb="FF468847"/>
        </patternFill>
      </fill>
    </dxf>
    <dxf>
      <fill>
        <patternFill>
          <bgColor rgb="FF92D050"/>
        </patternFill>
      </fill>
    </dxf>
    <dxf>
      <fill>
        <patternFill>
          <bgColor rgb="FFFFF2CC"/>
        </patternFill>
      </fill>
    </dxf>
    <dxf>
      <fill>
        <patternFill>
          <bgColor rgb="FFFFC7CE"/>
        </patternFill>
      </fill>
    </dxf>
    <dxf>
      <fill>
        <patternFill>
          <bgColor rgb="FFFF6666"/>
        </patternFill>
      </fill>
    </dxf>
    <dxf>
      <fill>
        <patternFill>
          <bgColor rgb="FFC45911"/>
        </patternFill>
      </fill>
    </dxf>
    <dxf>
      <fill>
        <patternFill>
          <bgColor rgb="FFB4C6E7"/>
        </patternFill>
      </fill>
    </dxf>
    <dxf>
      <fill>
        <patternFill>
          <bgColor rgb="FF468847"/>
        </patternFill>
      </fill>
    </dxf>
    <dxf>
      <fill>
        <patternFill>
          <bgColor rgb="FF92D050"/>
        </patternFill>
      </fill>
    </dxf>
    <dxf>
      <fill>
        <patternFill>
          <bgColor rgb="FFFFF2CC"/>
        </patternFill>
      </fill>
    </dxf>
    <dxf>
      <fill>
        <patternFill>
          <bgColor rgb="FFFFC7CE"/>
        </patternFill>
      </fill>
    </dxf>
    <dxf>
      <fill>
        <patternFill>
          <bgColor rgb="FFFF6666"/>
        </patternFill>
      </fill>
    </dxf>
    <dxf>
      <fill>
        <patternFill>
          <bgColor rgb="FFC45911"/>
        </patternFill>
      </fill>
    </dxf>
    <dxf>
      <fill>
        <patternFill>
          <bgColor rgb="FFB4C6E7"/>
        </patternFill>
      </fill>
    </dxf>
    <dxf>
      <fill>
        <patternFill>
          <bgColor rgb="FF468847"/>
        </patternFill>
      </fill>
    </dxf>
    <dxf>
      <fill>
        <patternFill>
          <bgColor rgb="FF92D050"/>
        </patternFill>
      </fill>
    </dxf>
    <dxf>
      <fill>
        <patternFill>
          <bgColor rgb="FFFFF2CC"/>
        </patternFill>
      </fill>
    </dxf>
    <dxf>
      <fill>
        <patternFill>
          <bgColor rgb="FFFFC7CE"/>
        </patternFill>
      </fill>
    </dxf>
    <dxf>
      <fill>
        <patternFill>
          <bgColor rgb="FFFF6666"/>
        </patternFill>
      </fill>
    </dxf>
    <dxf>
      <fill>
        <patternFill>
          <bgColor rgb="FFC45911"/>
        </patternFill>
      </fill>
    </dxf>
    <dxf>
      <fill>
        <patternFill>
          <bgColor rgb="FFB4C6E7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B4C6E7"/>
      <color rgb="FFC45911"/>
      <color rgb="FFFF6666"/>
      <color rgb="FFFFC7CE"/>
      <color rgb="FFFFF2CC"/>
      <color rgb="FF92D050"/>
      <color rgb="FF4688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refreshOnLoad="1" connectionId="2" xr16:uid="{B61DA5CA-4BE9-4BEE-84EB-62BE691CBAB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refreshOnLoad="1" connectionId="1" xr16:uid="{D89B6D3B-01B2-4E42-8249-57A82E46E33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8EBC17-6B35-4EF6-913A-A7887566D9B0}" name="資料表_4" displayName="資料表_4" ref="A1:B13" tableType="queryTable" totalsRowShown="0">
  <autoFilter ref="A1:B13" xr:uid="{AA8EBC17-6B35-4EF6-913A-A7887566D9B0}"/>
  <tableColumns count="2">
    <tableColumn id="1" xr3:uid="{0782B09F-D46C-483B-A459-96A8EE5B58A7}" uniqueName="1" name="Column1" queryTableFieldId="1" dataDxfId="43"/>
    <tableColumn id="2" xr3:uid="{14964756-E3AB-4C35-8EB5-3280CD76F4EF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DB1725-0861-49BB-916E-1CA892DAE100}" name="資料表_1" displayName="資料表_1" ref="A1:B13" tableType="queryTable" totalsRowShown="0">
  <autoFilter ref="A1:B13" xr:uid="{CADB1725-0861-49BB-916E-1CA892DAE100}"/>
  <tableColumns count="2">
    <tableColumn id="1" xr3:uid="{C590F0FC-1913-4267-A576-604D7B4B5A13}" uniqueName="1" name="Column1" queryTableFieldId="1" dataDxfId="42"/>
    <tableColumn id="2" xr3:uid="{EA1CA6FD-A812-4094-9DD7-CA357DC6F853}" uniqueName="2" name="Column2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7B2D-BFCA-49B2-8542-6B6BB5ACEF9D}">
  <dimension ref="A1:C12"/>
  <sheetViews>
    <sheetView workbookViewId="0"/>
  </sheetViews>
  <sheetFormatPr defaultRowHeight="17" x14ac:dyDescent="0.4"/>
  <cols>
    <col min="1" max="1" width="16.26953125" customWidth="1"/>
    <col min="2" max="2" width="39.36328125" customWidth="1"/>
    <col min="3" max="3" width="129.08984375" customWidth="1"/>
  </cols>
  <sheetData>
    <row r="1" spans="1:3" x14ac:dyDescent="0.4">
      <c r="A1" s="19" t="s">
        <v>58</v>
      </c>
      <c r="B1" s="19" t="s">
        <v>59</v>
      </c>
      <c r="C1" s="19" t="s">
        <v>84</v>
      </c>
    </row>
    <row r="2" spans="1:3" x14ac:dyDescent="0.4">
      <c r="A2" s="19" t="s">
        <v>60</v>
      </c>
      <c r="B2" s="22" t="s">
        <v>88</v>
      </c>
      <c r="C2" s="22" t="s">
        <v>107</v>
      </c>
    </row>
    <row r="3" spans="1:3" x14ac:dyDescent="0.4">
      <c r="A3" s="20" t="s">
        <v>61</v>
      </c>
      <c r="B3" s="24" t="s">
        <v>94</v>
      </c>
      <c r="C3" s="24" t="s">
        <v>108</v>
      </c>
    </row>
    <row r="4" spans="1:3" x14ac:dyDescent="0.4">
      <c r="A4" s="19" t="s">
        <v>62</v>
      </c>
      <c r="B4" s="22" t="s">
        <v>89</v>
      </c>
      <c r="C4" s="23" t="s">
        <v>93</v>
      </c>
    </row>
    <row r="5" spans="1:3" x14ac:dyDescent="0.4">
      <c r="A5" s="20" t="s">
        <v>63</v>
      </c>
      <c r="B5" s="24" t="s">
        <v>90</v>
      </c>
      <c r="C5" s="24" t="s">
        <v>104</v>
      </c>
    </row>
    <row r="6" spans="1:3" x14ac:dyDescent="0.4">
      <c r="A6" s="19" t="s">
        <v>64</v>
      </c>
      <c r="B6" s="22" t="s">
        <v>91</v>
      </c>
      <c r="C6" s="22" t="s">
        <v>105</v>
      </c>
    </row>
    <row r="7" spans="1:3" x14ac:dyDescent="0.4">
      <c r="A7" s="20" t="s">
        <v>65</v>
      </c>
      <c r="B7" s="24" t="s">
        <v>92</v>
      </c>
      <c r="C7" s="24" t="s">
        <v>106</v>
      </c>
    </row>
    <row r="10" spans="1:3" ht="80.5" x14ac:dyDescent="0.4">
      <c r="A10" s="21" t="s">
        <v>85</v>
      </c>
    </row>
    <row r="11" spans="1:3" ht="46" x14ac:dyDescent="0.4">
      <c r="A11" s="21" t="s">
        <v>86</v>
      </c>
    </row>
    <row r="12" spans="1:3" ht="103.5" x14ac:dyDescent="0.4">
      <c r="A12" s="21" t="s">
        <v>87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3890-569A-4F67-979C-47531DEEA171}">
  <dimension ref="A1:P146"/>
  <sheetViews>
    <sheetView tabSelected="1" zoomScaleNormal="100" workbookViewId="0">
      <pane xSplit="1" ySplit="4" topLeftCell="B71" activePane="bottomRight" state="frozen"/>
      <selection pane="topRight" activeCell="B1" sqref="B1"/>
      <selection pane="bottomLeft" activeCell="A5" sqref="A5"/>
      <selection pane="bottomRight" activeCell="I93" sqref="I93"/>
    </sheetView>
  </sheetViews>
  <sheetFormatPr defaultRowHeight="17" x14ac:dyDescent="0.4"/>
  <cols>
    <col min="1" max="1" width="9.6328125" bestFit="1" customWidth="1"/>
    <col min="2" max="2" width="10" bestFit="1" customWidth="1"/>
    <col min="3" max="3" width="7.81640625" bestFit="1" customWidth="1"/>
    <col min="4" max="4" width="10" bestFit="1" customWidth="1"/>
    <col min="5" max="8" width="13" bestFit="1" customWidth="1"/>
    <col min="9" max="9" width="15.81640625" bestFit="1" customWidth="1"/>
    <col min="10" max="10" width="17.08984375" bestFit="1" customWidth="1"/>
    <col min="11" max="11" width="23" bestFit="1" customWidth="1"/>
    <col min="12" max="12" width="127.90625" bestFit="1" customWidth="1"/>
    <col min="13" max="13" width="17.08984375" bestFit="1" customWidth="1"/>
    <col min="15" max="16" width="14.7265625" bestFit="1" customWidth="1"/>
  </cols>
  <sheetData>
    <row r="1" spans="1:16" x14ac:dyDescent="0.4">
      <c r="A1" t="s">
        <v>53</v>
      </c>
      <c r="B1" t="s">
        <v>82</v>
      </c>
      <c r="C1" t="s">
        <v>66</v>
      </c>
      <c r="D1" t="s">
        <v>4</v>
      </c>
      <c r="E1" t="s">
        <v>7</v>
      </c>
      <c r="F1" t="s">
        <v>21</v>
      </c>
      <c r="G1" t="s">
        <v>9</v>
      </c>
      <c r="H1" t="s">
        <v>8</v>
      </c>
      <c r="I1" t="s">
        <v>10</v>
      </c>
      <c r="J1" s="25" t="s">
        <v>97</v>
      </c>
      <c r="K1" t="s">
        <v>95</v>
      </c>
      <c r="L1" s="25" t="s">
        <v>96</v>
      </c>
      <c r="O1" t="s">
        <v>55</v>
      </c>
      <c r="P1" t="s">
        <v>54</v>
      </c>
    </row>
    <row r="2" spans="1:16" x14ac:dyDescent="0.4">
      <c r="A2" t="s">
        <v>67</v>
      </c>
      <c r="B2">
        <f>'6533'!B2</f>
        <v>270</v>
      </c>
      <c r="C2">
        <v>308</v>
      </c>
      <c r="D2" s="2">
        <f t="shared" ref="D2:D31" si="0">B2*324+206</f>
        <v>87686</v>
      </c>
      <c r="E2">
        <f t="shared" ref="E2:E31" si="1">MAX(D2, 100000)</f>
        <v>100000</v>
      </c>
      <c r="F2">
        <f t="shared" ref="F2:F31" si="2">E2/1000</f>
        <v>100</v>
      </c>
      <c r="G2">
        <f>'65331'!B2</f>
        <v>102.65</v>
      </c>
      <c r="H2">
        <f t="shared" ref="H2:H31" si="3">G2*1000</f>
        <v>102650</v>
      </c>
      <c r="I2">
        <f t="shared" ref="I2:I31" si="4">(H2-D2)/D2 *100</f>
        <v>17.065438040280089</v>
      </c>
      <c r="K2" t="str">
        <f>IF(I2 &lt; -1, "馬上買入CB,賣出現股",
 IF(I2 &lt; 3.5,  "考慮買入CB,賣出現股",
 IF(I2 &lt; 7,  "中立",
 IF(I2 &lt; 15, "考慮賣出CB,買入現股",
 IF(I2 &lt; 30, "賣出CB,買入現股",
             "馬上賣出CB,買入現股")))))</f>
        <v>賣出CB,買入現股</v>
      </c>
      <c r="L2" t="str">
        <f>IF(I2 &lt; -1, "套利警報：訊號出現！立即精算所有交易成本，確認利潤空間。(或有轉換價值)",
 IF(I2 &lt; 3.5,  "最佳買點：此時買入CB的性價比最高，是建立多頭部位的首選。(到期日前還是得轉換)",
 IF(I2 &lt; 7,  "安心持有：價格合理，享受CB攻守兼備的特性。(到期日前還是得轉換)",
 IF(I2 &lt; 15, "評估信心 (1)：保險費開始變貴，開始問自己：我是否該為了更高報酬而放棄保險？(到期日前還是得轉換)",
 IF(I2 &lt; 30, "評估信心 (2)：保險費很貴！若非極度看好後市，否則持有現股的機會成本很高。以最大化潛在獲利。(到期日前還是得轉換)",
             "強烈行動訊號：保險費極貴！將「帳面獲利」轉化為「實際報酬潛力」，避免因高溢價而壓縮未來上漲空間。(到期日前還是得轉換)")))))</f>
        <v>評估信心 (2)：保險費很貴！若非極度看好後市，否則持有現股的機會成本很高。以最大化潛在獲利。(到期日前還是得轉換)</v>
      </c>
      <c r="O2" s="1">
        <v>1000</v>
      </c>
      <c r="P2">
        <f>O2*0.324</f>
        <v>324</v>
      </c>
    </row>
    <row r="3" spans="1:16" x14ac:dyDescent="0.4">
      <c r="D3" s="2"/>
      <c r="O3" t="s">
        <v>56</v>
      </c>
      <c r="P3" t="s">
        <v>57</v>
      </c>
    </row>
    <row r="4" spans="1:16" x14ac:dyDescent="0.4">
      <c r="B4" t="s">
        <v>83</v>
      </c>
      <c r="D4" s="2"/>
      <c r="G4" t="s">
        <v>83</v>
      </c>
      <c r="O4" s="1">
        <v>1000</v>
      </c>
      <c r="P4">
        <f>O4/0.324</f>
        <v>3086.4197530864199</v>
      </c>
    </row>
    <row r="5" spans="1:16" x14ac:dyDescent="0.4">
      <c r="A5" s="18">
        <v>45908</v>
      </c>
      <c r="B5" s="1">
        <v>309</v>
      </c>
      <c r="C5">
        <v>308</v>
      </c>
      <c r="D5" s="2">
        <f t="shared" si="0"/>
        <v>100322</v>
      </c>
      <c r="E5">
        <f t="shared" si="1"/>
        <v>100322</v>
      </c>
      <c r="F5">
        <f t="shared" si="2"/>
        <v>100.322</v>
      </c>
      <c r="G5" s="1">
        <v>106.2</v>
      </c>
      <c r="H5">
        <f t="shared" si="3"/>
        <v>106200</v>
      </c>
      <c r="I5">
        <f t="shared" si="4"/>
        <v>5.8591335898407131</v>
      </c>
      <c r="K5" t="str">
        <f>IF(I5 &lt; -1, "馬上買入CB,賣出現股",
 IF(I5 &lt; 3.5,  "考慮買入CB,賣出現股",
 IF(I5 &lt; 7,  "中立",
 IF(I5 &lt; 15, "考慮賣出CB,買入現股",
 IF(I5 &lt; 30, "賣出CB,買入現股",
             "馬上賣出CB,買入現股")))))</f>
        <v>中立</v>
      </c>
      <c r="L5" t="str">
        <f>IF(I5 &lt; -1, "套利警報：訊號出現！立即精算所有交易成本，確認利潤空間。(或有轉換價值)",
 IF(I5 &lt; 3.5,  "最佳買點：此時買入CB的性價比最高，是建立多頭部位的首選。(到期日前還是得轉換)",
 IF(I5 &lt; 7,  "安心持有：價格合理，享受CB攻守兼備的特性。(到期日前還是得轉換)",
 IF(I5 &lt; 15, "評估信心 (1)：保險費開始變貴，開始問自己：我是否該為了更高報酬而放棄保險？(到期日前還是得轉換)",
 IF(I5 &lt; 30, "評估信心 (2)：保險費很貴！若非極度看好後市，否則持有現股的機會成本很高。以最大化潛在獲利。(到期日前還是得轉換)",
             "強烈行動訊號：保險費極貴！將「帳面獲利」轉化為「實際報酬潛力」，避免因高溢價而壓縮未來上漲空間。(到期日前還是得轉換)")))))</f>
        <v>安心持有：價格合理，享受CB攻守兼備的特性。(到期日前還是得轉換)</v>
      </c>
    </row>
    <row r="6" spans="1:16" x14ac:dyDescent="0.4">
      <c r="A6" s="18">
        <v>45909</v>
      </c>
      <c r="B6" s="1">
        <v>306.5</v>
      </c>
      <c r="C6">
        <v>308</v>
      </c>
      <c r="D6" s="2">
        <f t="shared" si="0"/>
        <v>99512</v>
      </c>
      <c r="E6">
        <f t="shared" si="1"/>
        <v>100000</v>
      </c>
      <c r="F6">
        <f t="shared" si="2"/>
        <v>100</v>
      </c>
      <c r="G6" s="1">
        <v>106</v>
      </c>
      <c r="H6">
        <f t="shared" si="3"/>
        <v>106000</v>
      </c>
      <c r="I6">
        <f t="shared" si="4"/>
        <v>6.5198167055229517</v>
      </c>
      <c r="K6" t="str">
        <f t="shared" ref="K6:K69" si="5">IF(I6 &lt; -1, "馬上買入CB,賣出現股",
 IF(I6 &lt; 3.5,  "考慮買入CB,賣出現股",
 IF(I6 &lt; 7,  "中立",
 IF(I6 &lt; 15, "考慮賣出CB,買入現股",
 IF(I6 &lt; 30, "賣出CB,買入現股",
             "馬上賣出CB,買入現股")))))</f>
        <v>中立</v>
      </c>
      <c r="L6" t="str">
        <f t="shared" ref="L6:L69" si="6">IF(I6 &lt; -1, "套利警報：訊號出現！立即精算所有交易成本，確認利潤空間。(或有轉換價值)",
 IF(I6 &lt; 3.5,  "最佳買點：此時買入CB的性價比最高，是建立多頭部位的首選。(到期日前還是得轉換)",
 IF(I6 &lt; 7,  "安心持有：價格合理，享受CB攻守兼備的特性。(到期日前還是得轉換)",
 IF(I6 &lt; 15, "評估信心 (1)：保險費開始變貴，開始問自己：我是否該為了更高報酬而放棄保險？(到期日前還是得轉換)",
 IF(I6 &lt; 30, "評估信心 (2)：保險費很貴！若非極度看好後市，否則持有現股的機會成本很高。以最大化潛在獲利。(到期日前還是得轉換)",
             "強烈行動訊號：保險費極貴！將「帳面獲利」轉化為「實際報酬潛力」，避免因高溢價而壓縮未來上漲空間。(到期日前還是得轉換)")))))</f>
        <v>安心持有：價格合理，享受CB攻守兼備的特性。(到期日前還是得轉換)</v>
      </c>
    </row>
    <row r="7" spans="1:16" x14ac:dyDescent="0.4">
      <c r="A7" s="18">
        <v>45910</v>
      </c>
      <c r="B7" s="1">
        <v>308</v>
      </c>
      <c r="C7">
        <v>308</v>
      </c>
      <c r="D7" s="2">
        <f t="shared" si="0"/>
        <v>99998</v>
      </c>
      <c r="E7">
        <f t="shared" si="1"/>
        <v>100000</v>
      </c>
      <c r="F7">
        <f t="shared" si="2"/>
        <v>100</v>
      </c>
      <c r="G7" s="1">
        <v>106</v>
      </c>
      <c r="H7">
        <f t="shared" si="3"/>
        <v>106000</v>
      </c>
      <c r="I7">
        <f t="shared" si="4"/>
        <v>6.0021200424008478</v>
      </c>
      <c r="K7" t="str">
        <f t="shared" si="5"/>
        <v>中立</v>
      </c>
      <c r="L7" t="str">
        <f t="shared" si="6"/>
        <v>安心持有：價格合理，享受CB攻守兼備的特性。(到期日前還是得轉換)</v>
      </c>
    </row>
    <row r="8" spans="1:16" x14ac:dyDescent="0.4">
      <c r="A8" s="18">
        <v>45911</v>
      </c>
      <c r="B8" s="1">
        <v>305.5</v>
      </c>
      <c r="C8">
        <v>308</v>
      </c>
      <c r="D8" s="2">
        <f t="shared" si="0"/>
        <v>99188</v>
      </c>
      <c r="E8">
        <f t="shared" si="1"/>
        <v>100000</v>
      </c>
      <c r="F8">
        <f t="shared" si="2"/>
        <v>100</v>
      </c>
      <c r="G8" s="1">
        <v>105.8</v>
      </c>
      <c r="H8">
        <f t="shared" si="3"/>
        <v>105800</v>
      </c>
      <c r="I8">
        <f t="shared" si="4"/>
        <v>6.6661289672137762</v>
      </c>
      <c r="K8" t="str">
        <f t="shared" si="5"/>
        <v>中立</v>
      </c>
      <c r="L8" t="str">
        <f t="shared" si="6"/>
        <v>安心持有：價格合理，享受CB攻守兼備的特性。(到期日前還是得轉換)</v>
      </c>
    </row>
    <row r="9" spans="1:16" x14ac:dyDescent="0.4">
      <c r="A9" s="18">
        <v>45912</v>
      </c>
      <c r="B9" s="1">
        <v>318.5</v>
      </c>
      <c r="C9">
        <v>308</v>
      </c>
      <c r="D9" s="2">
        <f t="shared" si="0"/>
        <v>103400</v>
      </c>
      <c r="E9">
        <f t="shared" si="1"/>
        <v>103400</v>
      </c>
      <c r="F9">
        <f t="shared" si="2"/>
        <v>103.4</v>
      </c>
      <c r="G9" s="1">
        <v>108.35</v>
      </c>
      <c r="H9">
        <f t="shared" si="3"/>
        <v>108350</v>
      </c>
      <c r="I9">
        <f t="shared" si="4"/>
        <v>4.7872340425531918</v>
      </c>
      <c r="K9" t="str">
        <f t="shared" si="5"/>
        <v>中立</v>
      </c>
      <c r="L9" t="str">
        <f t="shared" si="6"/>
        <v>安心持有：價格合理，享受CB攻守兼備的特性。(到期日前還是得轉換)</v>
      </c>
    </row>
    <row r="10" spans="1:16" x14ac:dyDescent="0.4">
      <c r="A10" s="18">
        <v>45913</v>
      </c>
      <c r="B10" s="1">
        <v>318.5</v>
      </c>
      <c r="C10">
        <v>308</v>
      </c>
      <c r="D10" s="2">
        <f t="shared" si="0"/>
        <v>103400</v>
      </c>
      <c r="E10">
        <f t="shared" si="1"/>
        <v>103400</v>
      </c>
      <c r="F10">
        <f t="shared" si="2"/>
        <v>103.4</v>
      </c>
      <c r="G10" s="1">
        <v>108.35</v>
      </c>
      <c r="H10">
        <f t="shared" si="3"/>
        <v>108350</v>
      </c>
      <c r="I10">
        <f t="shared" si="4"/>
        <v>4.7872340425531918</v>
      </c>
      <c r="K10" t="str">
        <f t="shared" si="5"/>
        <v>中立</v>
      </c>
      <c r="L10" t="str">
        <f t="shared" si="6"/>
        <v>安心持有：價格合理，享受CB攻守兼備的特性。(到期日前還是得轉換)</v>
      </c>
    </row>
    <row r="11" spans="1:16" x14ac:dyDescent="0.4">
      <c r="A11" s="18">
        <v>45914</v>
      </c>
      <c r="B11" s="1">
        <v>318.5</v>
      </c>
      <c r="C11">
        <v>308</v>
      </c>
      <c r="D11" s="2">
        <f t="shared" si="0"/>
        <v>103400</v>
      </c>
      <c r="E11">
        <f t="shared" si="1"/>
        <v>103400</v>
      </c>
      <c r="F11">
        <f t="shared" si="2"/>
        <v>103.4</v>
      </c>
      <c r="G11" s="1">
        <v>108.35</v>
      </c>
      <c r="H11">
        <f t="shared" si="3"/>
        <v>108350</v>
      </c>
      <c r="I11">
        <f t="shared" si="4"/>
        <v>4.7872340425531918</v>
      </c>
      <c r="K11" t="str">
        <f t="shared" si="5"/>
        <v>中立</v>
      </c>
      <c r="L11" t="str">
        <f t="shared" si="6"/>
        <v>安心持有：價格合理，享受CB攻守兼備的特性。(到期日前還是得轉換)</v>
      </c>
    </row>
    <row r="12" spans="1:16" x14ac:dyDescent="0.4">
      <c r="A12" s="18">
        <v>45915</v>
      </c>
      <c r="B12" s="1">
        <v>312.5</v>
      </c>
      <c r="C12">
        <v>308</v>
      </c>
      <c r="D12" s="2">
        <f t="shared" si="0"/>
        <v>101456</v>
      </c>
      <c r="E12">
        <f t="shared" si="1"/>
        <v>101456</v>
      </c>
      <c r="F12">
        <f t="shared" si="2"/>
        <v>101.456</v>
      </c>
      <c r="G12" s="1">
        <v>107.2</v>
      </c>
      <c r="H12">
        <f t="shared" si="3"/>
        <v>107200</v>
      </c>
      <c r="I12">
        <f t="shared" si="4"/>
        <v>5.6615675760920992</v>
      </c>
      <c r="K12" t="str">
        <f t="shared" si="5"/>
        <v>中立</v>
      </c>
      <c r="L12" t="str">
        <f t="shared" si="6"/>
        <v>安心持有：價格合理，享受CB攻守兼備的特性。(到期日前還是得轉換)</v>
      </c>
    </row>
    <row r="13" spans="1:16" x14ac:dyDescent="0.4">
      <c r="A13" s="18">
        <v>45916</v>
      </c>
      <c r="B13" s="1">
        <v>309.5</v>
      </c>
      <c r="C13">
        <v>308</v>
      </c>
      <c r="D13" s="2">
        <f t="shared" si="0"/>
        <v>100484</v>
      </c>
      <c r="E13">
        <f t="shared" si="1"/>
        <v>100484</v>
      </c>
      <c r="F13">
        <f t="shared" si="2"/>
        <v>100.48399999999999</v>
      </c>
      <c r="G13" s="1">
        <v>108</v>
      </c>
      <c r="H13">
        <f t="shared" si="3"/>
        <v>108000</v>
      </c>
      <c r="I13">
        <f t="shared" si="4"/>
        <v>7.4797977787508465</v>
      </c>
      <c r="K13" t="str">
        <f t="shared" si="5"/>
        <v>考慮賣出CB,買入現股</v>
      </c>
      <c r="L13" t="str">
        <f t="shared" si="6"/>
        <v>評估信心 (1)：保險費開始變貴，開始問自己：我是否該為了更高報酬而放棄保險？(到期日前還是得轉換)</v>
      </c>
    </row>
    <row r="14" spans="1:16" x14ac:dyDescent="0.4">
      <c r="A14" s="18">
        <v>45917</v>
      </c>
      <c r="B14" s="1">
        <v>321.5</v>
      </c>
      <c r="C14">
        <v>308</v>
      </c>
      <c r="D14" s="2">
        <f t="shared" si="0"/>
        <v>104372</v>
      </c>
      <c r="E14">
        <f t="shared" si="1"/>
        <v>104372</v>
      </c>
      <c r="F14">
        <f t="shared" si="2"/>
        <v>104.372</v>
      </c>
      <c r="G14" s="1">
        <v>110.25</v>
      </c>
      <c r="H14">
        <f t="shared" si="3"/>
        <v>110250</v>
      </c>
      <c r="I14">
        <f t="shared" si="4"/>
        <v>5.6317786379488757</v>
      </c>
      <c r="K14" t="str">
        <f t="shared" si="5"/>
        <v>中立</v>
      </c>
      <c r="L14" t="str">
        <f t="shared" si="6"/>
        <v>安心持有：價格合理，享受CB攻守兼備的特性。(到期日前還是得轉換)</v>
      </c>
    </row>
    <row r="15" spans="1:16" x14ac:dyDescent="0.4">
      <c r="A15" s="18">
        <v>45918</v>
      </c>
      <c r="B15" s="1">
        <v>323.5</v>
      </c>
      <c r="C15">
        <v>308</v>
      </c>
      <c r="D15" s="2">
        <f t="shared" si="0"/>
        <v>105020</v>
      </c>
      <c r="E15">
        <f t="shared" si="1"/>
        <v>105020</v>
      </c>
      <c r="F15">
        <f t="shared" si="2"/>
        <v>105.02</v>
      </c>
      <c r="G15" s="1">
        <v>112</v>
      </c>
      <c r="H15">
        <f t="shared" si="3"/>
        <v>112000</v>
      </c>
      <c r="I15">
        <f t="shared" si="4"/>
        <v>6.6463530756046465</v>
      </c>
      <c r="K15" t="str">
        <f t="shared" si="5"/>
        <v>中立</v>
      </c>
      <c r="L15" t="str">
        <f t="shared" si="6"/>
        <v>安心持有：價格合理，享受CB攻守兼備的特性。(到期日前還是得轉換)</v>
      </c>
    </row>
    <row r="16" spans="1:16" x14ac:dyDescent="0.4">
      <c r="A16" s="18">
        <v>45919</v>
      </c>
      <c r="B16" s="1">
        <v>318.5</v>
      </c>
      <c r="C16">
        <v>308</v>
      </c>
      <c r="D16" s="2">
        <f t="shared" si="0"/>
        <v>103400</v>
      </c>
      <c r="E16">
        <f t="shared" si="1"/>
        <v>103400</v>
      </c>
      <c r="F16">
        <f t="shared" si="2"/>
        <v>103.4</v>
      </c>
      <c r="G16" s="1">
        <v>111.5</v>
      </c>
      <c r="H16">
        <f t="shared" si="3"/>
        <v>111500</v>
      </c>
      <c r="I16">
        <f t="shared" si="4"/>
        <v>7.8336557059961311</v>
      </c>
      <c r="K16" t="str">
        <f t="shared" si="5"/>
        <v>考慮賣出CB,買入現股</v>
      </c>
      <c r="L16" t="str">
        <f t="shared" si="6"/>
        <v>評估信心 (1)：保險費開始變貴，開始問自己：我是否該為了更高報酬而放棄保險？(到期日前還是得轉換)</v>
      </c>
    </row>
    <row r="17" spans="1:12" x14ac:dyDescent="0.4">
      <c r="A17" s="18">
        <v>45920</v>
      </c>
      <c r="B17" s="1">
        <v>309</v>
      </c>
      <c r="C17">
        <v>308</v>
      </c>
      <c r="D17" s="2">
        <f t="shared" si="0"/>
        <v>100322</v>
      </c>
      <c r="E17">
        <f t="shared" si="1"/>
        <v>100322</v>
      </c>
      <c r="F17">
        <f t="shared" si="2"/>
        <v>100.322</v>
      </c>
      <c r="G17" s="1">
        <v>106.2</v>
      </c>
      <c r="H17">
        <f t="shared" si="3"/>
        <v>106200</v>
      </c>
      <c r="I17">
        <f t="shared" si="4"/>
        <v>5.8591335898407131</v>
      </c>
      <c r="K17" t="str">
        <f t="shared" si="5"/>
        <v>中立</v>
      </c>
      <c r="L17" t="str">
        <f t="shared" si="6"/>
        <v>安心持有：價格合理，享受CB攻守兼備的特性。(到期日前還是得轉換)</v>
      </c>
    </row>
    <row r="18" spans="1:12" x14ac:dyDescent="0.4">
      <c r="A18" s="18">
        <v>45921</v>
      </c>
      <c r="B18" s="1">
        <v>309</v>
      </c>
      <c r="C18">
        <v>308</v>
      </c>
      <c r="D18" s="2">
        <f t="shared" si="0"/>
        <v>100322</v>
      </c>
      <c r="E18">
        <f t="shared" si="1"/>
        <v>100322</v>
      </c>
      <c r="F18">
        <f t="shared" si="2"/>
        <v>100.322</v>
      </c>
      <c r="G18" s="1">
        <v>106.2</v>
      </c>
      <c r="H18">
        <f t="shared" si="3"/>
        <v>106200</v>
      </c>
      <c r="I18">
        <f t="shared" si="4"/>
        <v>5.8591335898407131</v>
      </c>
      <c r="K18" t="str">
        <f t="shared" si="5"/>
        <v>中立</v>
      </c>
      <c r="L18" t="str">
        <f t="shared" si="6"/>
        <v>安心持有：價格合理，享受CB攻守兼備的特性。(到期日前還是得轉換)</v>
      </c>
    </row>
    <row r="19" spans="1:12" x14ac:dyDescent="0.4">
      <c r="A19" s="18">
        <v>45922</v>
      </c>
      <c r="B19" s="1">
        <v>317.5</v>
      </c>
      <c r="C19">
        <v>308</v>
      </c>
      <c r="D19" s="2">
        <f t="shared" si="0"/>
        <v>103076</v>
      </c>
      <c r="E19">
        <f t="shared" si="1"/>
        <v>103076</v>
      </c>
      <c r="F19">
        <f t="shared" si="2"/>
        <v>103.07599999999999</v>
      </c>
      <c r="G19" s="1">
        <v>110.7</v>
      </c>
      <c r="H19">
        <f t="shared" si="3"/>
        <v>110700</v>
      </c>
      <c r="I19">
        <f t="shared" si="4"/>
        <v>7.3964841476192325</v>
      </c>
      <c r="K19" t="str">
        <f t="shared" si="5"/>
        <v>考慮賣出CB,買入現股</v>
      </c>
      <c r="L19" t="str">
        <f t="shared" si="6"/>
        <v>評估信心 (1)：保險費開始變貴，開始問自己：我是否該為了更高報酬而放棄保險？(到期日前還是得轉換)</v>
      </c>
    </row>
    <row r="20" spans="1:12" x14ac:dyDescent="0.4">
      <c r="A20" s="18">
        <v>45923</v>
      </c>
      <c r="B20" s="1">
        <v>325.5</v>
      </c>
      <c r="C20">
        <v>308</v>
      </c>
      <c r="D20" s="2">
        <f t="shared" si="0"/>
        <v>105668</v>
      </c>
      <c r="E20">
        <f t="shared" si="1"/>
        <v>105668</v>
      </c>
      <c r="F20">
        <f t="shared" si="2"/>
        <v>105.66800000000001</v>
      </c>
      <c r="G20" s="1">
        <v>112.7</v>
      </c>
      <c r="H20">
        <f t="shared" si="3"/>
        <v>112700</v>
      </c>
      <c r="I20">
        <f t="shared" si="4"/>
        <v>6.6548056175947305</v>
      </c>
      <c r="K20" t="str">
        <f t="shared" si="5"/>
        <v>中立</v>
      </c>
      <c r="L20" t="str">
        <f t="shared" si="6"/>
        <v>安心持有：價格合理，享受CB攻守兼備的特性。(到期日前還是得轉換)</v>
      </c>
    </row>
    <row r="21" spans="1:12" x14ac:dyDescent="0.4">
      <c r="A21" s="18">
        <v>45924</v>
      </c>
      <c r="B21" s="1">
        <v>310</v>
      </c>
      <c r="C21">
        <v>308</v>
      </c>
      <c r="D21" s="2">
        <f t="shared" si="0"/>
        <v>100646</v>
      </c>
      <c r="E21">
        <f t="shared" si="1"/>
        <v>100646</v>
      </c>
      <c r="F21">
        <f t="shared" si="2"/>
        <v>100.646</v>
      </c>
      <c r="G21" s="1">
        <v>110.25</v>
      </c>
      <c r="H21">
        <f t="shared" si="3"/>
        <v>110250</v>
      </c>
      <c r="I21">
        <f t="shared" si="4"/>
        <v>9.5423563777994165</v>
      </c>
      <c r="K21" t="str">
        <f t="shared" si="5"/>
        <v>考慮賣出CB,買入現股</v>
      </c>
      <c r="L21" t="str">
        <f t="shared" si="6"/>
        <v>評估信心 (1)：保險費開始變貴，開始問自己：我是否該為了更高報酬而放棄保險？(到期日前還是得轉換)</v>
      </c>
    </row>
    <row r="22" spans="1:12" x14ac:dyDescent="0.4">
      <c r="A22" s="18">
        <v>45925</v>
      </c>
      <c r="B22" s="1">
        <v>310</v>
      </c>
      <c r="C22">
        <v>308</v>
      </c>
      <c r="D22" s="2">
        <f t="shared" si="0"/>
        <v>100646</v>
      </c>
      <c r="E22">
        <f t="shared" si="1"/>
        <v>100646</v>
      </c>
      <c r="F22">
        <f t="shared" si="2"/>
        <v>100.646</v>
      </c>
      <c r="G22" s="1">
        <v>109.6</v>
      </c>
      <c r="H22">
        <f t="shared" si="3"/>
        <v>109600</v>
      </c>
      <c r="I22">
        <f t="shared" si="4"/>
        <v>8.8965284263656788</v>
      </c>
      <c r="K22" t="str">
        <f t="shared" si="5"/>
        <v>考慮賣出CB,買入現股</v>
      </c>
      <c r="L22" t="str">
        <f t="shared" si="6"/>
        <v>評估信心 (1)：保險費開始變貴，開始問自己：我是否該為了更高報酬而放棄保險？(到期日前還是得轉換)</v>
      </c>
    </row>
    <row r="23" spans="1:12" x14ac:dyDescent="0.4">
      <c r="A23" s="18">
        <v>45926</v>
      </c>
      <c r="B23" s="1">
        <v>299.5</v>
      </c>
      <c r="C23">
        <v>308</v>
      </c>
      <c r="D23" s="2">
        <f t="shared" si="0"/>
        <v>97244</v>
      </c>
      <c r="E23">
        <f t="shared" si="1"/>
        <v>100000</v>
      </c>
      <c r="F23">
        <f t="shared" si="2"/>
        <v>100</v>
      </c>
      <c r="G23" s="1">
        <v>108.6</v>
      </c>
      <c r="H23">
        <f t="shared" si="3"/>
        <v>108600</v>
      </c>
      <c r="I23">
        <f t="shared" si="4"/>
        <v>11.677841306404508</v>
      </c>
      <c r="K23" t="str">
        <f t="shared" si="5"/>
        <v>考慮賣出CB,買入現股</v>
      </c>
      <c r="L23" t="str">
        <f t="shared" si="6"/>
        <v>評估信心 (1)：保險費開始變貴，開始問自己：我是否該為了更高報酬而放棄保險？(到期日前還是得轉換)</v>
      </c>
    </row>
    <row r="24" spans="1:12" x14ac:dyDescent="0.4">
      <c r="A24" s="18">
        <v>45927</v>
      </c>
      <c r="B24" s="1">
        <v>299.5</v>
      </c>
      <c r="C24">
        <v>308</v>
      </c>
      <c r="D24" s="2">
        <f t="shared" si="0"/>
        <v>97244</v>
      </c>
      <c r="E24">
        <f t="shared" si="1"/>
        <v>100000</v>
      </c>
      <c r="F24">
        <f t="shared" si="2"/>
        <v>100</v>
      </c>
      <c r="G24" s="1">
        <v>108.6</v>
      </c>
      <c r="H24">
        <f t="shared" si="3"/>
        <v>108600</v>
      </c>
      <c r="I24">
        <f t="shared" si="4"/>
        <v>11.677841306404508</v>
      </c>
      <c r="K24" t="str">
        <f t="shared" si="5"/>
        <v>考慮賣出CB,買入現股</v>
      </c>
      <c r="L24" t="str">
        <f t="shared" si="6"/>
        <v>評估信心 (1)：保險費開始變貴，開始問自己：我是否該為了更高報酬而放棄保險？(到期日前還是得轉換)</v>
      </c>
    </row>
    <row r="25" spans="1:12" x14ac:dyDescent="0.4">
      <c r="A25" s="18">
        <v>45928</v>
      </c>
      <c r="B25" s="1">
        <v>299.5</v>
      </c>
      <c r="C25">
        <v>308</v>
      </c>
      <c r="D25" s="2">
        <f t="shared" si="0"/>
        <v>97244</v>
      </c>
      <c r="E25">
        <f t="shared" si="1"/>
        <v>100000</v>
      </c>
      <c r="F25">
        <f t="shared" si="2"/>
        <v>100</v>
      </c>
      <c r="G25" s="1">
        <v>108.6</v>
      </c>
      <c r="H25">
        <f t="shared" si="3"/>
        <v>108600</v>
      </c>
      <c r="I25">
        <f t="shared" si="4"/>
        <v>11.677841306404508</v>
      </c>
      <c r="K25" t="str">
        <f t="shared" si="5"/>
        <v>考慮賣出CB,買入現股</v>
      </c>
      <c r="L25" t="str">
        <f t="shared" si="6"/>
        <v>評估信心 (1)：保險費開始變貴，開始問自己：我是否該為了更高報酬而放棄保險？(到期日前還是得轉換)</v>
      </c>
    </row>
    <row r="26" spans="1:12" x14ac:dyDescent="0.4">
      <c r="A26" s="18">
        <v>45929</v>
      </c>
      <c r="B26" s="1">
        <v>299.5</v>
      </c>
      <c r="C26">
        <v>308</v>
      </c>
      <c r="D26" s="2">
        <f t="shared" si="0"/>
        <v>97244</v>
      </c>
      <c r="E26">
        <f t="shared" si="1"/>
        <v>100000</v>
      </c>
      <c r="F26">
        <f t="shared" si="2"/>
        <v>100</v>
      </c>
      <c r="G26" s="1">
        <v>108.6</v>
      </c>
      <c r="H26">
        <f t="shared" si="3"/>
        <v>108600</v>
      </c>
      <c r="I26">
        <f t="shared" si="4"/>
        <v>11.677841306404508</v>
      </c>
      <c r="K26" t="str">
        <f t="shared" si="5"/>
        <v>考慮賣出CB,買入現股</v>
      </c>
      <c r="L26" t="str">
        <f t="shared" si="6"/>
        <v>評估信心 (1)：保險費開始變貴，開始問自己：我是否該為了更高報酬而放棄保險？(到期日前還是得轉換)</v>
      </c>
    </row>
    <row r="27" spans="1:12" x14ac:dyDescent="0.4">
      <c r="A27" s="18">
        <v>45930</v>
      </c>
      <c r="B27" s="1">
        <v>307</v>
      </c>
      <c r="C27">
        <v>308</v>
      </c>
      <c r="D27" s="2">
        <f t="shared" si="0"/>
        <v>99674</v>
      </c>
      <c r="E27">
        <f t="shared" si="1"/>
        <v>100000</v>
      </c>
      <c r="F27">
        <f t="shared" si="2"/>
        <v>100</v>
      </c>
      <c r="G27" s="1">
        <v>109.9</v>
      </c>
      <c r="H27">
        <f t="shared" si="3"/>
        <v>109900</v>
      </c>
      <c r="I27">
        <f t="shared" si="4"/>
        <v>10.259445793286112</v>
      </c>
      <c r="K27" t="str">
        <f t="shared" si="5"/>
        <v>考慮賣出CB,買入現股</v>
      </c>
      <c r="L27" t="str">
        <f t="shared" si="6"/>
        <v>評估信心 (1)：保險費開始變貴，開始問自己：我是否該為了更高報酬而放棄保險？(到期日前還是得轉換)</v>
      </c>
    </row>
    <row r="28" spans="1:12" x14ac:dyDescent="0.4">
      <c r="A28" s="18">
        <v>45931</v>
      </c>
      <c r="B28" s="1">
        <v>302</v>
      </c>
      <c r="C28">
        <v>308</v>
      </c>
      <c r="D28" s="2">
        <f t="shared" si="0"/>
        <v>98054</v>
      </c>
      <c r="E28">
        <f t="shared" si="1"/>
        <v>100000</v>
      </c>
      <c r="F28">
        <f t="shared" si="2"/>
        <v>100</v>
      </c>
      <c r="G28" s="1">
        <v>109.5</v>
      </c>
      <c r="H28">
        <f t="shared" si="3"/>
        <v>109500</v>
      </c>
      <c r="I28">
        <f t="shared" si="4"/>
        <v>11.673159687519123</v>
      </c>
      <c r="K28" t="str">
        <f t="shared" si="5"/>
        <v>考慮賣出CB,買入現股</v>
      </c>
      <c r="L28" t="str">
        <f t="shared" si="6"/>
        <v>評估信心 (1)：保險費開始變貴，開始問自己：我是否該為了更高報酬而放棄保險？(到期日前還是得轉換)</v>
      </c>
    </row>
    <row r="29" spans="1:12" x14ac:dyDescent="0.4">
      <c r="A29" s="18">
        <v>45932</v>
      </c>
      <c r="B29" s="1">
        <v>301</v>
      </c>
      <c r="C29">
        <v>308</v>
      </c>
      <c r="D29" s="2">
        <f t="shared" si="0"/>
        <v>97730</v>
      </c>
      <c r="E29">
        <f t="shared" si="1"/>
        <v>100000</v>
      </c>
      <c r="F29">
        <f t="shared" si="2"/>
        <v>100</v>
      </c>
      <c r="G29" s="1">
        <v>109.3</v>
      </c>
      <c r="H29">
        <f t="shared" si="3"/>
        <v>109300</v>
      </c>
      <c r="I29">
        <f t="shared" si="4"/>
        <v>11.83873938401719</v>
      </c>
      <c r="K29" t="str">
        <f t="shared" si="5"/>
        <v>考慮賣出CB,買入現股</v>
      </c>
      <c r="L29" t="str">
        <f t="shared" si="6"/>
        <v>評估信心 (1)：保險費開始變貴，開始問自己：我是否該為了更高報酬而放棄保險？(到期日前還是得轉換)</v>
      </c>
    </row>
    <row r="30" spans="1:12" x14ac:dyDescent="0.4">
      <c r="A30" s="18">
        <v>45933</v>
      </c>
      <c r="B30" s="1">
        <v>299</v>
      </c>
      <c r="C30">
        <v>308</v>
      </c>
      <c r="D30" s="2">
        <f t="shared" si="0"/>
        <v>97082</v>
      </c>
      <c r="E30">
        <f t="shared" si="1"/>
        <v>100000</v>
      </c>
      <c r="F30">
        <f t="shared" si="2"/>
        <v>100</v>
      </c>
      <c r="G30" s="1">
        <v>108.5</v>
      </c>
      <c r="H30">
        <f t="shared" si="3"/>
        <v>108500</v>
      </c>
      <c r="I30">
        <f t="shared" si="4"/>
        <v>11.761191570012979</v>
      </c>
      <c r="K30" t="str">
        <f t="shared" si="5"/>
        <v>考慮賣出CB,買入現股</v>
      </c>
      <c r="L30" t="str">
        <f t="shared" si="6"/>
        <v>評估信心 (1)：保險費開始變貴，開始問自己：我是否該為了更高報酬而放棄保險？(到期日前還是得轉換)</v>
      </c>
    </row>
    <row r="31" spans="1:12" x14ac:dyDescent="0.4">
      <c r="A31" s="18">
        <v>45934</v>
      </c>
      <c r="B31" s="1">
        <v>299</v>
      </c>
      <c r="C31">
        <v>308</v>
      </c>
      <c r="D31" s="2">
        <f t="shared" si="0"/>
        <v>97082</v>
      </c>
      <c r="E31">
        <f t="shared" si="1"/>
        <v>100000</v>
      </c>
      <c r="F31">
        <f t="shared" si="2"/>
        <v>100</v>
      </c>
      <c r="G31" s="1">
        <v>108.5</v>
      </c>
      <c r="H31">
        <f t="shared" si="3"/>
        <v>108500</v>
      </c>
      <c r="I31">
        <f t="shared" si="4"/>
        <v>11.761191570012979</v>
      </c>
      <c r="K31" t="str">
        <f t="shared" si="5"/>
        <v>考慮賣出CB,買入現股</v>
      </c>
      <c r="L31" t="str">
        <f t="shared" si="6"/>
        <v>評估信心 (1)：保險費開始變貴，開始問自己：我是否該為了更高報酬而放棄保險？(到期日前還是得轉換)</v>
      </c>
    </row>
    <row r="32" spans="1:12" x14ac:dyDescent="0.4">
      <c r="A32" s="18">
        <v>45935</v>
      </c>
      <c r="B32" s="1">
        <v>299</v>
      </c>
      <c r="C32">
        <v>308</v>
      </c>
      <c r="D32" s="2">
        <f>B32*324+206</f>
        <v>97082</v>
      </c>
      <c r="E32">
        <f>MAX(D32, 100000)</f>
        <v>100000</v>
      </c>
      <c r="F32">
        <f>E32/1000</f>
        <v>100</v>
      </c>
      <c r="G32" s="1">
        <v>108.5</v>
      </c>
      <c r="H32">
        <f>G32*1000</f>
        <v>108500</v>
      </c>
      <c r="I32">
        <f>(H32-D32)/D32 *100</f>
        <v>11.761191570012979</v>
      </c>
      <c r="K32" t="str">
        <f t="shared" si="5"/>
        <v>考慮賣出CB,買入現股</v>
      </c>
      <c r="L32" t="str">
        <f t="shared" si="6"/>
        <v>評估信心 (1)：保險費開始變貴，開始問自己：我是否該為了更高報酬而放棄保險？(到期日前還是得轉換)</v>
      </c>
    </row>
    <row r="33" spans="1:12" x14ac:dyDescent="0.4">
      <c r="A33" s="18">
        <v>45936</v>
      </c>
      <c r="B33" s="1">
        <v>299</v>
      </c>
      <c r="C33">
        <v>308</v>
      </c>
      <c r="D33" s="2">
        <f t="shared" ref="D33:D48" si="7">B33*324+206</f>
        <v>97082</v>
      </c>
      <c r="E33">
        <f t="shared" ref="E33:E48" si="8">MAX(D33, 100000)</f>
        <v>100000</v>
      </c>
      <c r="F33">
        <f t="shared" ref="F33:F48" si="9">E33/1000</f>
        <v>100</v>
      </c>
      <c r="G33" s="1">
        <v>108.5</v>
      </c>
      <c r="H33">
        <f t="shared" ref="H33:H48" si="10">G33*1000</f>
        <v>108500</v>
      </c>
      <c r="I33">
        <f t="shared" ref="I33:I48" si="11">(H33-D33)/D33 *100</f>
        <v>11.761191570012979</v>
      </c>
      <c r="K33" t="str">
        <f t="shared" si="5"/>
        <v>考慮賣出CB,買入現股</v>
      </c>
      <c r="L33" t="str">
        <f t="shared" si="6"/>
        <v>評估信心 (1)：保險費開始變貴，開始問自己：我是否該為了更高報酬而放棄保險？(到期日前還是得轉換)</v>
      </c>
    </row>
    <row r="34" spans="1:12" x14ac:dyDescent="0.4">
      <c r="A34" s="18">
        <v>45937</v>
      </c>
      <c r="B34" s="1">
        <v>290.5</v>
      </c>
      <c r="C34">
        <v>308</v>
      </c>
      <c r="D34" s="2">
        <f t="shared" si="7"/>
        <v>94328</v>
      </c>
      <c r="E34">
        <f t="shared" si="8"/>
        <v>100000</v>
      </c>
      <c r="F34">
        <f t="shared" si="9"/>
        <v>100</v>
      </c>
      <c r="G34" s="1">
        <v>105.7</v>
      </c>
      <c r="H34">
        <f t="shared" si="10"/>
        <v>105700</v>
      </c>
      <c r="I34">
        <f t="shared" si="11"/>
        <v>12.055805275209906</v>
      </c>
      <c r="K34" t="str">
        <f t="shared" si="5"/>
        <v>考慮賣出CB,買入現股</v>
      </c>
      <c r="L34" t="str">
        <f t="shared" si="6"/>
        <v>評估信心 (1)：保險費開始變貴，開始問自己：我是否該為了更高報酬而放棄保險？(到期日前還是得轉換)</v>
      </c>
    </row>
    <row r="35" spans="1:12" x14ac:dyDescent="0.4">
      <c r="A35" s="18">
        <v>45938</v>
      </c>
      <c r="B35" s="1">
        <v>289.5</v>
      </c>
      <c r="C35">
        <v>308</v>
      </c>
      <c r="D35" s="2">
        <f t="shared" si="7"/>
        <v>94004</v>
      </c>
      <c r="E35">
        <f t="shared" si="8"/>
        <v>100000</v>
      </c>
      <c r="F35">
        <f t="shared" si="9"/>
        <v>100</v>
      </c>
      <c r="G35" s="1">
        <v>106</v>
      </c>
      <c r="H35">
        <f t="shared" si="10"/>
        <v>106000</v>
      </c>
      <c r="I35">
        <f t="shared" si="11"/>
        <v>12.761159099612781</v>
      </c>
      <c r="K35" t="str">
        <f t="shared" si="5"/>
        <v>考慮賣出CB,買入現股</v>
      </c>
      <c r="L35" t="str">
        <f t="shared" si="6"/>
        <v>評估信心 (1)：保險費開始變貴，開始問自己：我是否該為了更高報酬而放棄保險？(到期日前還是得轉換)</v>
      </c>
    </row>
    <row r="36" spans="1:12" x14ac:dyDescent="0.4">
      <c r="A36" s="18">
        <v>45939</v>
      </c>
      <c r="B36" s="1">
        <v>295</v>
      </c>
      <c r="C36">
        <v>308</v>
      </c>
      <c r="D36" s="2">
        <f t="shared" si="7"/>
        <v>95786</v>
      </c>
      <c r="E36">
        <f t="shared" si="8"/>
        <v>100000</v>
      </c>
      <c r="F36">
        <f t="shared" si="9"/>
        <v>100</v>
      </c>
      <c r="G36" s="1">
        <v>106.6</v>
      </c>
      <c r="H36">
        <f t="shared" si="10"/>
        <v>106600</v>
      </c>
      <c r="I36">
        <f t="shared" si="11"/>
        <v>11.289750067859604</v>
      </c>
      <c r="K36" t="str">
        <f t="shared" si="5"/>
        <v>考慮賣出CB,買入現股</v>
      </c>
      <c r="L36" t="str">
        <f t="shared" si="6"/>
        <v>評估信心 (1)：保險費開始變貴，開始問自己：我是否該為了更高報酬而放棄保險？(到期日前還是得轉換)</v>
      </c>
    </row>
    <row r="37" spans="1:12" x14ac:dyDescent="0.4">
      <c r="A37" s="18">
        <v>45940</v>
      </c>
      <c r="B37" s="1">
        <v>295</v>
      </c>
      <c r="C37">
        <v>308</v>
      </c>
      <c r="D37" s="2">
        <f t="shared" si="7"/>
        <v>95786</v>
      </c>
      <c r="E37">
        <f t="shared" si="8"/>
        <v>100000</v>
      </c>
      <c r="F37">
        <f t="shared" si="9"/>
        <v>100</v>
      </c>
      <c r="G37" s="1">
        <v>106.6</v>
      </c>
      <c r="H37">
        <f t="shared" si="10"/>
        <v>106600</v>
      </c>
      <c r="I37">
        <f t="shared" si="11"/>
        <v>11.289750067859604</v>
      </c>
      <c r="K37" t="str">
        <f t="shared" si="5"/>
        <v>考慮賣出CB,買入現股</v>
      </c>
      <c r="L37" t="str">
        <f t="shared" si="6"/>
        <v>評估信心 (1)：保險費開始變貴，開始問自己：我是否該為了更高報酬而放棄保險？(到期日前還是得轉換)</v>
      </c>
    </row>
    <row r="38" spans="1:12" x14ac:dyDescent="0.4">
      <c r="A38" s="18">
        <v>45941</v>
      </c>
      <c r="B38" s="1">
        <v>295</v>
      </c>
      <c r="C38">
        <v>308</v>
      </c>
      <c r="D38" s="2">
        <f t="shared" si="7"/>
        <v>95786</v>
      </c>
      <c r="E38">
        <f t="shared" si="8"/>
        <v>100000</v>
      </c>
      <c r="F38">
        <f t="shared" si="9"/>
        <v>100</v>
      </c>
      <c r="G38" s="1">
        <v>106.6</v>
      </c>
      <c r="H38">
        <f t="shared" si="10"/>
        <v>106600</v>
      </c>
      <c r="I38">
        <f t="shared" si="11"/>
        <v>11.289750067859604</v>
      </c>
      <c r="K38" t="str">
        <f t="shared" si="5"/>
        <v>考慮賣出CB,買入現股</v>
      </c>
      <c r="L38" t="str">
        <f t="shared" si="6"/>
        <v>評估信心 (1)：保險費開始變貴，開始問自己：我是否該為了更高報酬而放棄保險？(到期日前還是得轉換)</v>
      </c>
    </row>
    <row r="39" spans="1:12" x14ac:dyDescent="0.4">
      <c r="A39" s="18">
        <v>45942</v>
      </c>
      <c r="B39" s="1">
        <v>295</v>
      </c>
      <c r="C39">
        <v>308</v>
      </c>
      <c r="D39" s="2">
        <f t="shared" si="7"/>
        <v>95786</v>
      </c>
      <c r="E39">
        <f t="shared" si="8"/>
        <v>100000</v>
      </c>
      <c r="F39">
        <f t="shared" si="9"/>
        <v>100</v>
      </c>
      <c r="G39" s="1">
        <v>106.6</v>
      </c>
      <c r="H39">
        <f t="shared" si="10"/>
        <v>106600</v>
      </c>
      <c r="I39">
        <f t="shared" si="11"/>
        <v>11.289750067859604</v>
      </c>
      <c r="K39" t="str">
        <f t="shared" si="5"/>
        <v>考慮賣出CB,買入現股</v>
      </c>
      <c r="L39" t="str">
        <f t="shared" si="6"/>
        <v>評估信心 (1)：保險費開始變貴，開始問自己：我是否該為了更高報酬而放棄保險？(到期日前還是得轉換)</v>
      </c>
    </row>
    <row r="40" spans="1:12" x14ac:dyDescent="0.4">
      <c r="A40" s="18">
        <v>45943</v>
      </c>
      <c r="B40" s="1">
        <v>282</v>
      </c>
      <c r="C40">
        <v>308</v>
      </c>
      <c r="D40" s="2">
        <f t="shared" si="7"/>
        <v>91574</v>
      </c>
      <c r="E40">
        <f t="shared" si="8"/>
        <v>100000</v>
      </c>
      <c r="F40">
        <f t="shared" si="9"/>
        <v>100</v>
      </c>
      <c r="G40" s="1">
        <v>104.2</v>
      </c>
      <c r="H40">
        <f t="shared" si="10"/>
        <v>104200</v>
      </c>
      <c r="I40">
        <f t="shared" si="11"/>
        <v>13.787756350055695</v>
      </c>
      <c r="K40" t="str">
        <f t="shared" si="5"/>
        <v>考慮賣出CB,買入現股</v>
      </c>
      <c r="L40" t="str">
        <f t="shared" si="6"/>
        <v>評估信心 (1)：保險費開始變貴，開始問自己：我是否該為了更高報酬而放棄保險？(到期日前還是得轉換)</v>
      </c>
    </row>
    <row r="41" spans="1:12" x14ac:dyDescent="0.4">
      <c r="A41" s="18">
        <v>45944</v>
      </c>
      <c r="B41" s="1">
        <v>284.5</v>
      </c>
      <c r="C41">
        <v>308</v>
      </c>
      <c r="D41" s="2">
        <f t="shared" si="7"/>
        <v>92384</v>
      </c>
      <c r="E41">
        <f t="shared" si="8"/>
        <v>100000</v>
      </c>
      <c r="F41">
        <f t="shared" si="9"/>
        <v>100</v>
      </c>
      <c r="G41" s="1">
        <v>106</v>
      </c>
      <c r="H41">
        <f t="shared" si="10"/>
        <v>106000</v>
      </c>
      <c r="I41">
        <f t="shared" si="11"/>
        <v>14.738482854173881</v>
      </c>
      <c r="K41" t="str">
        <f t="shared" si="5"/>
        <v>考慮賣出CB,買入現股</v>
      </c>
      <c r="L41" t="str">
        <f t="shared" si="6"/>
        <v>評估信心 (1)：保險費開始變貴，開始問自己：我是否該為了更高報酬而放棄保險？(到期日前還是得轉換)</v>
      </c>
    </row>
    <row r="42" spans="1:12" x14ac:dyDescent="0.4">
      <c r="A42" s="18">
        <v>45945</v>
      </c>
      <c r="B42" s="1">
        <v>282</v>
      </c>
      <c r="C42">
        <v>308</v>
      </c>
      <c r="D42" s="2">
        <f t="shared" si="7"/>
        <v>91574</v>
      </c>
      <c r="E42">
        <f t="shared" si="8"/>
        <v>100000</v>
      </c>
      <c r="F42">
        <f t="shared" si="9"/>
        <v>100</v>
      </c>
      <c r="G42" s="1">
        <v>105.5</v>
      </c>
      <c r="H42">
        <f t="shared" si="10"/>
        <v>105500</v>
      </c>
      <c r="I42">
        <f t="shared" si="11"/>
        <v>15.207373271889402</v>
      </c>
      <c r="K42" t="str">
        <f t="shared" si="5"/>
        <v>賣出CB,買入現股</v>
      </c>
      <c r="L42" t="str">
        <f t="shared" si="6"/>
        <v>評估信心 (2)：保險費很貴！若非極度看好後市，否則持有現股的機會成本很高。以最大化潛在獲利。(到期日前還是得轉換)</v>
      </c>
    </row>
    <row r="43" spans="1:12" x14ac:dyDescent="0.4">
      <c r="A43" s="18">
        <v>45946</v>
      </c>
      <c r="B43" s="1">
        <v>284</v>
      </c>
      <c r="C43">
        <v>308</v>
      </c>
      <c r="D43" s="2">
        <f t="shared" si="7"/>
        <v>92222</v>
      </c>
      <c r="E43">
        <f t="shared" si="8"/>
        <v>100000</v>
      </c>
      <c r="F43">
        <f t="shared" si="9"/>
        <v>100</v>
      </c>
      <c r="G43" s="1">
        <v>106.3</v>
      </c>
      <c r="H43">
        <f t="shared" si="10"/>
        <v>106300</v>
      </c>
      <c r="I43">
        <f t="shared" si="11"/>
        <v>15.265337988766239</v>
      </c>
      <c r="K43" t="str">
        <f t="shared" si="5"/>
        <v>賣出CB,買入現股</v>
      </c>
      <c r="L43" t="str">
        <f t="shared" si="6"/>
        <v>評估信心 (2)：保險費很貴！若非極度看好後市，否則持有現股的機會成本很高。以最大化潛在獲利。(到期日前還是得轉換)</v>
      </c>
    </row>
    <row r="44" spans="1:12" x14ac:dyDescent="0.4">
      <c r="A44" s="18">
        <v>45947</v>
      </c>
      <c r="B44" s="1">
        <v>275.5</v>
      </c>
      <c r="C44">
        <v>308</v>
      </c>
      <c r="D44" s="2">
        <f t="shared" si="7"/>
        <v>89468</v>
      </c>
      <c r="E44">
        <f t="shared" si="8"/>
        <v>100000</v>
      </c>
      <c r="F44">
        <f t="shared" si="9"/>
        <v>100</v>
      </c>
      <c r="G44" s="1">
        <v>106</v>
      </c>
      <c r="H44">
        <f t="shared" si="10"/>
        <v>106000</v>
      </c>
      <c r="I44">
        <f t="shared" si="11"/>
        <v>18.478115080252159</v>
      </c>
      <c r="K44" t="str">
        <f t="shared" si="5"/>
        <v>賣出CB,買入現股</v>
      </c>
      <c r="L44" t="str">
        <f t="shared" si="6"/>
        <v>評估信心 (2)：保險費很貴！若非極度看好後市，否則持有現股的機會成本很高。以最大化潛在獲利。(到期日前還是得轉換)</v>
      </c>
    </row>
    <row r="45" spans="1:12" x14ac:dyDescent="0.4">
      <c r="A45" s="18">
        <v>45948</v>
      </c>
      <c r="B45" s="1">
        <v>275.5</v>
      </c>
      <c r="C45">
        <v>308</v>
      </c>
      <c r="D45" s="2">
        <f t="shared" si="7"/>
        <v>89468</v>
      </c>
      <c r="E45">
        <f t="shared" si="8"/>
        <v>100000</v>
      </c>
      <c r="F45">
        <f t="shared" si="9"/>
        <v>100</v>
      </c>
      <c r="G45" s="1">
        <v>106</v>
      </c>
      <c r="H45">
        <f t="shared" si="10"/>
        <v>106000</v>
      </c>
      <c r="I45">
        <f t="shared" si="11"/>
        <v>18.478115080252159</v>
      </c>
      <c r="K45" t="str">
        <f t="shared" si="5"/>
        <v>賣出CB,買入現股</v>
      </c>
      <c r="L45" t="str">
        <f t="shared" si="6"/>
        <v>評估信心 (2)：保險費很貴！若非極度看好後市，否則持有現股的機會成本很高。以最大化潛在獲利。(到期日前還是得轉換)</v>
      </c>
    </row>
    <row r="46" spans="1:12" x14ac:dyDescent="0.4">
      <c r="A46" s="18">
        <v>45949</v>
      </c>
      <c r="B46" s="1">
        <v>275.5</v>
      </c>
      <c r="C46">
        <v>308</v>
      </c>
      <c r="D46" s="2">
        <f t="shared" si="7"/>
        <v>89468</v>
      </c>
      <c r="E46">
        <f t="shared" si="8"/>
        <v>100000</v>
      </c>
      <c r="F46">
        <f t="shared" si="9"/>
        <v>100</v>
      </c>
      <c r="G46" s="1">
        <v>106</v>
      </c>
      <c r="H46">
        <f t="shared" si="10"/>
        <v>106000</v>
      </c>
      <c r="I46">
        <f t="shared" si="11"/>
        <v>18.478115080252159</v>
      </c>
      <c r="K46" t="str">
        <f t="shared" si="5"/>
        <v>賣出CB,買入現股</v>
      </c>
      <c r="L46" t="str">
        <f t="shared" si="6"/>
        <v>評估信心 (2)：保險費很貴！若非極度看好後市，否則持有現股的機會成本很高。以最大化潛在獲利。(到期日前還是得轉換)</v>
      </c>
    </row>
    <row r="47" spans="1:12" x14ac:dyDescent="0.4">
      <c r="A47" s="18">
        <v>45950</v>
      </c>
      <c r="B47" s="1">
        <v>276</v>
      </c>
      <c r="C47">
        <v>308</v>
      </c>
      <c r="D47" s="2">
        <f t="shared" si="7"/>
        <v>89630</v>
      </c>
      <c r="E47">
        <f t="shared" si="8"/>
        <v>100000</v>
      </c>
      <c r="F47">
        <f t="shared" si="9"/>
        <v>100</v>
      </c>
      <c r="G47" s="1">
        <v>106.5</v>
      </c>
      <c r="H47">
        <f t="shared" si="10"/>
        <v>106500</v>
      </c>
      <c r="I47">
        <f t="shared" si="11"/>
        <v>18.821823050317974</v>
      </c>
      <c r="K47" t="str">
        <f t="shared" si="5"/>
        <v>賣出CB,買入現股</v>
      </c>
      <c r="L47" t="str">
        <f t="shared" si="6"/>
        <v>評估信心 (2)：保險費很貴！若非極度看好後市，否則持有現股的機會成本很高。以最大化潛在獲利。(到期日前還是得轉換)</v>
      </c>
    </row>
    <row r="48" spans="1:12" x14ac:dyDescent="0.4">
      <c r="A48" s="18">
        <v>45951</v>
      </c>
      <c r="B48" s="1">
        <v>281.5</v>
      </c>
      <c r="C48">
        <v>308</v>
      </c>
      <c r="D48" s="2">
        <f t="shared" si="7"/>
        <v>91412</v>
      </c>
      <c r="E48">
        <f t="shared" si="8"/>
        <v>100000</v>
      </c>
      <c r="F48">
        <f t="shared" si="9"/>
        <v>100</v>
      </c>
      <c r="G48" s="1">
        <v>106.6</v>
      </c>
      <c r="H48">
        <f t="shared" si="10"/>
        <v>106600</v>
      </c>
      <c r="I48">
        <f t="shared" si="11"/>
        <v>16.614886448168733</v>
      </c>
      <c r="K48" t="str">
        <f t="shared" si="5"/>
        <v>賣出CB,買入現股</v>
      </c>
      <c r="L48" t="str">
        <f t="shared" si="6"/>
        <v>評估信心 (2)：保險費很貴！若非極度看好後市，否則持有現股的機會成本很高。以最大化潛在獲利。(到期日前還是得轉換)</v>
      </c>
    </row>
    <row r="49" spans="1:12" x14ac:dyDescent="0.4">
      <c r="A49" s="18">
        <v>45952</v>
      </c>
      <c r="B49" s="1">
        <v>279</v>
      </c>
      <c r="C49">
        <v>308</v>
      </c>
      <c r="D49" s="2">
        <f>B49*324+206</f>
        <v>90602</v>
      </c>
      <c r="E49">
        <f>MAX(D49, 100000)</f>
        <v>100000</v>
      </c>
      <c r="F49">
        <f>E49/1000</f>
        <v>100</v>
      </c>
      <c r="G49" s="1">
        <v>106</v>
      </c>
      <c r="H49">
        <f>G49*1000</f>
        <v>106000</v>
      </c>
      <c r="I49">
        <f>(H49-D49)/D49 *100</f>
        <v>16.995209818767798</v>
      </c>
      <c r="K49" t="str">
        <f t="shared" si="5"/>
        <v>賣出CB,買入現股</v>
      </c>
      <c r="L49" t="str">
        <f t="shared" si="6"/>
        <v>評估信心 (2)：保險費很貴！若非極度看好後市，否則持有現股的機會成本很高。以最大化潛在獲利。(到期日前還是得轉換)</v>
      </c>
    </row>
    <row r="50" spans="1:12" x14ac:dyDescent="0.4">
      <c r="A50" s="18">
        <v>45953</v>
      </c>
      <c r="B50" s="1">
        <v>270.5</v>
      </c>
      <c r="C50">
        <v>308</v>
      </c>
      <c r="D50" s="2">
        <f>B50*324+206</f>
        <v>87848</v>
      </c>
      <c r="E50">
        <f>MAX(D50, 100000)</f>
        <v>100000</v>
      </c>
      <c r="F50">
        <f>E50/1000</f>
        <v>100</v>
      </c>
      <c r="G50" s="1">
        <v>104.35</v>
      </c>
      <c r="H50">
        <f>G50*1000</f>
        <v>104350</v>
      </c>
      <c r="I50">
        <f>(H50-D50)/D50 *100</f>
        <v>18.784719060194881</v>
      </c>
      <c r="K50" t="str">
        <f t="shared" si="5"/>
        <v>賣出CB,買入現股</v>
      </c>
      <c r="L50" t="str">
        <f t="shared" si="6"/>
        <v>評估信心 (2)：保險費很貴！若非極度看好後市，否則持有現股的機會成本很高。以最大化潛在獲利。(到期日前還是得轉換)</v>
      </c>
    </row>
    <row r="51" spans="1:12" x14ac:dyDescent="0.4">
      <c r="A51" s="18">
        <v>45954</v>
      </c>
      <c r="B51" s="1">
        <v>270.5</v>
      </c>
      <c r="C51">
        <v>308</v>
      </c>
      <c r="D51" s="2">
        <f t="shared" ref="D51:D60" si="12">B51*324+206</f>
        <v>87848</v>
      </c>
      <c r="E51">
        <f t="shared" ref="E51:E60" si="13">MAX(D51, 100000)</f>
        <v>100000</v>
      </c>
      <c r="F51">
        <f t="shared" ref="F51:F60" si="14">E51/1000</f>
        <v>100</v>
      </c>
      <c r="G51" s="1">
        <v>104.35</v>
      </c>
      <c r="H51">
        <f t="shared" ref="H51:H60" si="15">G51*1000</f>
        <v>104350</v>
      </c>
      <c r="I51">
        <f t="shared" ref="I51:I60" si="16">(H51-D51)/D51 *100</f>
        <v>18.784719060194881</v>
      </c>
      <c r="K51" t="str">
        <f t="shared" si="5"/>
        <v>賣出CB,買入現股</v>
      </c>
      <c r="L51" t="str">
        <f t="shared" si="6"/>
        <v>評估信心 (2)：保險費很貴！若非極度看好後市，否則持有現股的機會成本很高。以最大化潛在獲利。(到期日前還是得轉換)</v>
      </c>
    </row>
    <row r="52" spans="1:12" x14ac:dyDescent="0.4">
      <c r="A52" s="18">
        <v>45955</v>
      </c>
      <c r="B52" s="1">
        <v>270.5</v>
      </c>
      <c r="C52">
        <v>308</v>
      </c>
      <c r="D52" s="2">
        <f t="shared" si="12"/>
        <v>87848</v>
      </c>
      <c r="E52">
        <f t="shared" si="13"/>
        <v>100000</v>
      </c>
      <c r="F52">
        <f t="shared" si="14"/>
        <v>100</v>
      </c>
      <c r="G52" s="1">
        <v>104.35</v>
      </c>
      <c r="H52">
        <f t="shared" si="15"/>
        <v>104350</v>
      </c>
      <c r="I52">
        <f t="shared" si="16"/>
        <v>18.784719060194881</v>
      </c>
      <c r="K52" t="str">
        <f t="shared" si="5"/>
        <v>賣出CB,買入現股</v>
      </c>
      <c r="L52" t="str">
        <f t="shared" si="6"/>
        <v>評估信心 (2)：保險費很貴！若非極度看好後市，否則持有現股的機會成本很高。以最大化潛在獲利。(到期日前還是得轉換)</v>
      </c>
    </row>
    <row r="53" spans="1:12" x14ac:dyDescent="0.4">
      <c r="A53" s="18">
        <v>45956</v>
      </c>
      <c r="B53" s="1">
        <v>270.5</v>
      </c>
      <c r="C53">
        <v>308</v>
      </c>
      <c r="D53" s="2">
        <f t="shared" si="12"/>
        <v>87848</v>
      </c>
      <c r="E53">
        <f t="shared" si="13"/>
        <v>100000</v>
      </c>
      <c r="F53">
        <f t="shared" si="14"/>
        <v>100</v>
      </c>
      <c r="G53" s="1">
        <v>104.35</v>
      </c>
      <c r="H53">
        <f t="shared" si="15"/>
        <v>104350</v>
      </c>
      <c r="I53">
        <f t="shared" si="16"/>
        <v>18.784719060194881</v>
      </c>
      <c r="K53" t="str">
        <f t="shared" si="5"/>
        <v>賣出CB,買入現股</v>
      </c>
      <c r="L53" t="str">
        <f t="shared" si="6"/>
        <v>評估信心 (2)：保險費很貴！若非極度看好後市，否則持有現股的機會成本很高。以最大化潛在獲利。(到期日前還是得轉換)</v>
      </c>
    </row>
    <row r="54" spans="1:12" x14ac:dyDescent="0.4">
      <c r="A54" s="18">
        <v>45957</v>
      </c>
      <c r="B54" s="1">
        <v>271.5</v>
      </c>
      <c r="C54">
        <v>308</v>
      </c>
      <c r="D54" s="2">
        <f t="shared" si="12"/>
        <v>88172</v>
      </c>
      <c r="E54">
        <f t="shared" si="13"/>
        <v>100000</v>
      </c>
      <c r="F54">
        <f t="shared" si="14"/>
        <v>100</v>
      </c>
      <c r="G54" s="1">
        <v>104.2</v>
      </c>
      <c r="H54">
        <f t="shared" si="15"/>
        <v>104200</v>
      </c>
      <c r="I54">
        <f t="shared" si="16"/>
        <v>18.178106428344599</v>
      </c>
      <c r="K54" t="str">
        <f t="shared" si="5"/>
        <v>賣出CB,買入現股</v>
      </c>
      <c r="L54" t="str">
        <f t="shared" si="6"/>
        <v>評估信心 (2)：保險費很貴！若非極度看好後市，否則持有現股的機會成本很高。以最大化潛在獲利。(到期日前還是得轉換)</v>
      </c>
    </row>
    <row r="55" spans="1:12" x14ac:dyDescent="0.4">
      <c r="A55" s="18">
        <v>45958</v>
      </c>
      <c r="B55" s="1">
        <v>268</v>
      </c>
      <c r="C55">
        <v>308</v>
      </c>
      <c r="D55" s="2">
        <f t="shared" si="12"/>
        <v>87038</v>
      </c>
      <c r="E55">
        <f t="shared" si="13"/>
        <v>100000</v>
      </c>
      <c r="F55">
        <f t="shared" si="14"/>
        <v>100</v>
      </c>
      <c r="G55" s="1">
        <v>104.5</v>
      </c>
      <c r="H55">
        <f t="shared" si="15"/>
        <v>104500</v>
      </c>
      <c r="I55">
        <f t="shared" si="16"/>
        <v>20.062501436154324</v>
      </c>
      <c r="K55" t="str">
        <f t="shared" si="5"/>
        <v>賣出CB,買入現股</v>
      </c>
      <c r="L55" t="str">
        <f t="shared" si="6"/>
        <v>評估信心 (2)：保險費很貴！若非極度看好後市，否則持有現股的機會成本很高。以最大化潛在獲利。(到期日前還是得轉換)</v>
      </c>
    </row>
    <row r="56" spans="1:12" x14ac:dyDescent="0.4">
      <c r="A56" s="18">
        <v>45959</v>
      </c>
      <c r="B56" s="1">
        <v>268</v>
      </c>
      <c r="C56">
        <v>308</v>
      </c>
      <c r="D56" s="2">
        <f t="shared" si="12"/>
        <v>87038</v>
      </c>
      <c r="E56">
        <f t="shared" si="13"/>
        <v>100000</v>
      </c>
      <c r="F56">
        <f t="shared" si="14"/>
        <v>100</v>
      </c>
      <c r="G56" s="1">
        <v>104.2</v>
      </c>
      <c r="H56">
        <f t="shared" si="15"/>
        <v>104200</v>
      </c>
      <c r="I56">
        <f t="shared" si="16"/>
        <v>19.717824398538568</v>
      </c>
      <c r="K56" t="str">
        <f t="shared" si="5"/>
        <v>賣出CB,買入現股</v>
      </c>
      <c r="L56" t="str">
        <f t="shared" si="6"/>
        <v>評估信心 (2)：保險費很貴！若非極度看好後市，否則持有現股的機會成本很高。以最大化潛在獲利。(到期日前還是得轉換)</v>
      </c>
    </row>
    <row r="57" spans="1:12" x14ac:dyDescent="0.4">
      <c r="A57" s="18">
        <v>45960</v>
      </c>
      <c r="B57" s="1">
        <v>269</v>
      </c>
      <c r="C57">
        <v>308</v>
      </c>
      <c r="D57" s="2">
        <f t="shared" si="12"/>
        <v>87362</v>
      </c>
      <c r="E57">
        <f t="shared" si="13"/>
        <v>100000</v>
      </c>
      <c r="F57">
        <f t="shared" si="14"/>
        <v>100</v>
      </c>
      <c r="G57" s="1">
        <v>104.2</v>
      </c>
      <c r="H57">
        <f t="shared" si="15"/>
        <v>104200</v>
      </c>
      <c r="I57">
        <f t="shared" si="16"/>
        <v>19.273826148668757</v>
      </c>
      <c r="K57" t="str">
        <f t="shared" si="5"/>
        <v>賣出CB,買入現股</v>
      </c>
      <c r="L57" t="str">
        <f t="shared" si="6"/>
        <v>評估信心 (2)：保險費很貴！若非極度看好後市，否則持有現股的機會成本很高。以最大化潛在獲利。(到期日前還是得轉換)</v>
      </c>
    </row>
    <row r="58" spans="1:12" x14ac:dyDescent="0.4">
      <c r="A58" s="18">
        <v>45961</v>
      </c>
      <c r="B58" s="1">
        <v>268</v>
      </c>
      <c r="C58">
        <v>308</v>
      </c>
      <c r="D58" s="2">
        <f t="shared" si="12"/>
        <v>87038</v>
      </c>
      <c r="E58">
        <f t="shared" si="13"/>
        <v>100000</v>
      </c>
      <c r="F58">
        <f t="shared" si="14"/>
        <v>100</v>
      </c>
      <c r="G58" s="1">
        <v>104.45</v>
      </c>
      <c r="H58">
        <f t="shared" si="15"/>
        <v>104450</v>
      </c>
      <c r="I58">
        <f t="shared" si="16"/>
        <v>20.005055263218363</v>
      </c>
      <c r="K58" t="str">
        <f t="shared" si="5"/>
        <v>賣出CB,買入現股</v>
      </c>
      <c r="L58" t="str">
        <f t="shared" si="6"/>
        <v>評估信心 (2)：保險費很貴！若非極度看好後市，否則持有現股的機會成本很高。以最大化潛在獲利。(到期日前還是得轉換)</v>
      </c>
    </row>
    <row r="59" spans="1:12" x14ac:dyDescent="0.4">
      <c r="A59" s="18">
        <v>45962</v>
      </c>
      <c r="B59" s="1">
        <v>268</v>
      </c>
      <c r="C59">
        <v>308</v>
      </c>
      <c r="D59" s="2">
        <f t="shared" si="12"/>
        <v>87038</v>
      </c>
      <c r="E59">
        <f t="shared" si="13"/>
        <v>100000</v>
      </c>
      <c r="F59">
        <f t="shared" si="14"/>
        <v>100</v>
      </c>
      <c r="G59" s="1">
        <v>106.2</v>
      </c>
      <c r="H59">
        <f t="shared" si="15"/>
        <v>106200</v>
      </c>
      <c r="I59">
        <f t="shared" si="16"/>
        <v>22.015671315976928</v>
      </c>
      <c r="K59" t="str">
        <f t="shared" si="5"/>
        <v>賣出CB,買入現股</v>
      </c>
      <c r="L59" t="str">
        <f t="shared" si="6"/>
        <v>評估信心 (2)：保險費很貴！若非極度看好後市，否則持有現股的機會成本很高。以最大化潛在獲利。(到期日前還是得轉換)</v>
      </c>
    </row>
    <row r="60" spans="1:12" x14ac:dyDescent="0.4">
      <c r="A60" s="18">
        <v>45963</v>
      </c>
      <c r="B60" s="1">
        <v>268</v>
      </c>
      <c r="C60">
        <v>308</v>
      </c>
      <c r="D60" s="2">
        <f t="shared" si="12"/>
        <v>87038</v>
      </c>
      <c r="E60">
        <f t="shared" si="13"/>
        <v>100000</v>
      </c>
      <c r="F60">
        <f t="shared" si="14"/>
        <v>100</v>
      </c>
      <c r="G60" s="1">
        <v>106.2</v>
      </c>
      <c r="H60">
        <f t="shared" si="15"/>
        <v>106200</v>
      </c>
      <c r="I60">
        <f t="shared" si="16"/>
        <v>22.015671315976928</v>
      </c>
      <c r="K60" t="str">
        <f t="shared" si="5"/>
        <v>賣出CB,買入現股</v>
      </c>
      <c r="L60" t="str">
        <f t="shared" si="6"/>
        <v>評估信心 (2)：保險費很貴！若非極度看好後市，否則持有現股的機會成本很高。以最大化潛在獲利。(到期日前還是得轉換)</v>
      </c>
    </row>
    <row r="61" spans="1:12" x14ac:dyDescent="0.4">
      <c r="A61" s="18">
        <v>45964</v>
      </c>
      <c r="B61" s="1">
        <v>266.5</v>
      </c>
      <c r="C61">
        <v>308</v>
      </c>
      <c r="D61" s="2">
        <f t="shared" ref="D61:D103" si="17">B61*324+206</f>
        <v>86552</v>
      </c>
      <c r="E61">
        <f t="shared" ref="E61:E103" si="18">MAX(D61, 100000)</f>
        <v>100000</v>
      </c>
      <c r="F61">
        <f t="shared" ref="F61:F103" si="19">E61/1000</f>
        <v>100</v>
      </c>
      <c r="G61" s="1">
        <v>104</v>
      </c>
      <c r="H61">
        <f t="shared" ref="H61:H103" si="20">G61*1000</f>
        <v>104000</v>
      </c>
      <c r="I61">
        <f t="shared" ref="I61:I103" si="21">(H61-D61)/D61 *100</f>
        <v>20.158979572973472</v>
      </c>
      <c r="K61" t="str">
        <f t="shared" si="5"/>
        <v>賣出CB,買入現股</v>
      </c>
      <c r="L61" t="str">
        <f t="shared" si="6"/>
        <v>評估信心 (2)：保險費很貴！若非極度看好後市，否則持有現股的機會成本很高。以最大化潛在獲利。(到期日前還是得轉換)</v>
      </c>
    </row>
    <row r="62" spans="1:12" x14ac:dyDescent="0.4">
      <c r="A62" s="18">
        <v>45965</v>
      </c>
      <c r="B62" s="1">
        <v>267</v>
      </c>
      <c r="C62">
        <v>308</v>
      </c>
      <c r="D62" s="2">
        <f t="shared" si="17"/>
        <v>86714</v>
      </c>
      <c r="E62">
        <f t="shared" si="18"/>
        <v>100000</v>
      </c>
      <c r="F62">
        <f t="shared" si="19"/>
        <v>100</v>
      </c>
      <c r="G62" s="1">
        <v>103.65</v>
      </c>
      <c r="H62">
        <f t="shared" si="20"/>
        <v>103650</v>
      </c>
      <c r="I62">
        <f t="shared" si="21"/>
        <v>19.530871600894894</v>
      </c>
      <c r="K62" t="str">
        <f t="shared" si="5"/>
        <v>賣出CB,買入現股</v>
      </c>
      <c r="L62" t="str">
        <f t="shared" si="6"/>
        <v>評估信心 (2)：保險費很貴！若非極度看好後市，否則持有現股的機會成本很高。以最大化潛在獲利。(到期日前還是得轉換)</v>
      </c>
    </row>
    <row r="63" spans="1:12" x14ac:dyDescent="0.4">
      <c r="A63" s="18">
        <v>45966</v>
      </c>
      <c r="B63" s="1">
        <v>260</v>
      </c>
      <c r="C63">
        <v>308</v>
      </c>
      <c r="D63" s="2">
        <f t="shared" si="17"/>
        <v>84446</v>
      </c>
      <c r="E63">
        <f t="shared" si="18"/>
        <v>100000</v>
      </c>
      <c r="F63">
        <f t="shared" si="19"/>
        <v>100</v>
      </c>
      <c r="G63" s="1">
        <v>102.5</v>
      </c>
      <c r="H63">
        <f t="shared" si="20"/>
        <v>102500</v>
      </c>
      <c r="I63">
        <f t="shared" si="21"/>
        <v>21.37934301210241</v>
      </c>
      <c r="K63" t="str">
        <f t="shared" si="5"/>
        <v>賣出CB,買入現股</v>
      </c>
      <c r="L63" t="str">
        <f t="shared" si="6"/>
        <v>評估信心 (2)：保險費很貴！若非極度看好後市，否則持有現股的機會成本很高。以最大化潛在獲利。(到期日前還是得轉換)</v>
      </c>
    </row>
    <row r="64" spans="1:12" x14ac:dyDescent="0.4">
      <c r="A64" s="18">
        <v>45967</v>
      </c>
      <c r="B64" s="1">
        <v>266</v>
      </c>
      <c r="C64">
        <v>308</v>
      </c>
      <c r="D64" s="2">
        <f t="shared" si="17"/>
        <v>86390</v>
      </c>
      <c r="E64">
        <f t="shared" si="18"/>
        <v>100000</v>
      </c>
      <c r="F64">
        <f t="shared" si="19"/>
        <v>100</v>
      </c>
      <c r="G64" s="1">
        <v>105.2</v>
      </c>
      <c r="H64">
        <f t="shared" si="20"/>
        <v>105200</v>
      </c>
      <c r="I64">
        <f t="shared" si="21"/>
        <v>21.773353397383957</v>
      </c>
      <c r="K64" t="str">
        <f t="shared" si="5"/>
        <v>賣出CB,買入現股</v>
      </c>
      <c r="L64" t="str">
        <f t="shared" si="6"/>
        <v>評估信心 (2)：保險費很貴！若非極度看好後市，否則持有現股的機會成本很高。以最大化潛在獲利。(到期日前還是得轉換)</v>
      </c>
    </row>
    <row r="65" spans="1:12" x14ac:dyDescent="0.4">
      <c r="A65" s="18">
        <v>45968</v>
      </c>
      <c r="B65" s="1">
        <v>260.5</v>
      </c>
      <c r="C65">
        <v>308</v>
      </c>
      <c r="D65" s="2">
        <f t="shared" si="17"/>
        <v>84608</v>
      </c>
      <c r="E65">
        <f t="shared" si="18"/>
        <v>100000</v>
      </c>
      <c r="F65">
        <f t="shared" si="19"/>
        <v>100</v>
      </c>
      <c r="G65" s="1">
        <v>102.8</v>
      </c>
      <c r="H65">
        <f t="shared" si="20"/>
        <v>102800</v>
      </c>
      <c r="I65">
        <f t="shared" si="21"/>
        <v>21.501512859304086</v>
      </c>
      <c r="K65" t="str">
        <f t="shared" si="5"/>
        <v>賣出CB,買入現股</v>
      </c>
      <c r="L65" t="str">
        <f t="shared" si="6"/>
        <v>評估信心 (2)：保險費很貴！若非極度看好後市，否則持有現股的機會成本很高。以最大化潛在獲利。(到期日前還是得轉換)</v>
      </c>
    </row>
    <row r="66" spans="1:12" x14ac:dyDescent="0.4">
      <c r="A66" s="18">
        <v>45969</v>
      </c>
      <c r="B66" s="1">
        <v>260.5</v>
      </c>
      <c r="C66">
        <v>308</v>
      </c>
      <c r="D66" s="2">
        <f t="shared" si="17"/>
        <v>84608</v>
      </c>
      <c r="E66">
        <f t="shared" si="18"/>
        <v>100000</v>
      </c>
      <c r="F66">
        <f t="shared" si="19"/>
        <v>100</v>
      </c>
      <c r="G66" s="1">
        <v>102.8</v>
      </c>
      <c r="H66">
        <f t="shared" si="20"/>
        <v>102800</v>
      </c>
      <c r="I66">
        <f t="shared" si="21"/>
        <v>21.501512859304086</v>
      </c>
      <c r="K66" t="str">
        <f t="shared" si="5"/>
        <v>賣出CB,買入現股</v>
      </c>
      <c r="L66" t="str">
        <f t="shared" si="6"/>
        <v>評估信心 (2)：保險費很貴！若非極度看好後市，否則持有現股的機會成本很高。以最大化潛在獲利。(到期日前還是得轉換)</v>
      </c>
    </row>
    <row r="67" spans="1:12" x14ac:dyDescent="0.4">
      <c r="A67" s="18">
        <v>45970</v>
      </c>
      <c r="B67" s="1">
        <v>260.5</v>
      </c>
      <c r="C67">
        <v>308</v>
      </c>
      <c r="D67" s="2">
        <f t="shared" si="17"/>
        <v>84608</v>
      </c>
      <c r="E67">
        <f t="shared" si="18"/>
        <v>100000</v>
      </c>
      <c r="F67">
        <f t="shared" si="19"/>
        <v>100</v>
      </c>
      <c r="G67" s="1">
        <v>102.8</v>
      </c>
      <c r="H67">
        <f t="shared" si="20"/>
        <v>102800</v>
      </c>
      <c r="I67">
        <f t="shared" si="21"/>
        <v>21.501512859304086</v>
      </c>
      <c r="K67" t="str">
        <f t="shared" si="5"/>
        <v>賣出CB,買入現股</v>
      </c>
      <c r="L67" t="str">
        <f t="shared" si="6"/>
        <v>評估信心 (2)：保險費很貴！若非極度看好後市，否則持有現股的機會成本很高。以最大化潛在獲利。(到期日前還是得轉換)</v>
      </c>
    </row>
    <row r="68" spans="1:12" x14ac:dyDescent="0.4">
      <c r="A68" s="18">
        <v>45971</v>
      </c>
      <c r="B68" s="1">
        <v>264.5</v>
      </c>
      <c r="C68">
        <v>308</v>
      </c>
      <c r="D68" s="2">
        <f t="shared" si="17"/>
        <v>85904</v>
      </c>
      <c r="E68">
        <f t="shared" si="18"/>
        <v>100000</v>
      </c>
      <c r="F68">
        <f t="shared" si="19"/>
        <v>100</v>
      </c>
      <c r="G68" s="1">
        <v>103.5</v>
      </c>
      <c r="H68">
        <f t="shared" si="20"/>
        <v>103500</v>
      </c>
      <c r="I68">
        <f t="shared" si="21"/>
        <v>20.483330229092942</v>
      </c>
      <c r="K68" t="str">
        <f t="shared" si="5"/>
        <v>賣出CB,買入現股</v>
      </c>
      <c r="L68" t="str">
        <f t="shared" si="6"/>
        <v>評估信心 (2)：保險費很貴！若非極度看好後市，否則持有現股的機會成本很高。以最大化潛在獲利。(到期日前還是得轉換)</v>
      </c>
    </row>
    <row r="69" spans="1:12" x14ac:dyDescent="0.4">
      <c r="A69" s="18">
        <v>45972</v>
      </c>
      <c r="B69" s="1">
        <v>257.5</v>
      </c>
      <c r="C69">
        <v>308</v>
      </c>
      <c r="D69" s="2">
        <f t="shared" si="17"/>
        <v>83636</v>
      </c>
      <c r="E69">
        <f t="shared" si="18"/>
        <v>100000</v>
      </c>
      <c r="F69">
        <f t="shared" si="19"/>
        <v>100</v>
      </c>
      <c r="G69" s="1">
        <v>102.5</v>
      </c>
      <c r="H69">
        <f t="shared" si="20"/>
        <v>102500</v>
      </c>
      <c r="I69">
        <f t="shared" si="21"/>
        <v>22.55488067339423</v>
      </c>
      <c r="K69" t="str">
        <f t="shared" si="5"/>
        <v>賣出CB,買入現股</v>
      </c>
      <c r="L69" t="str">
        <f t="shared" si="6"/>
        <v>評估信心 (2)：保險費很貴！若非極度看好後市，否則持有現股的機會成本很高。以最大化潛在獲利。(到期日前還是得轉換)</v>
      </c>
    </row>
    <row r="70" spans="1:12" x14ac:dyDescent="0.4">
      <c r="A70" s="18">
        <v>45973</v>
      </c>
      <c r="B70" s="1">
        <v>256</v>
      </c>
      <c r="C70">
        <v>308</v>
      </c>
      <c r="D70" s="2">
        <f t="shared" si="17"/>
        <v>83150</v>
      </c>
      <c r="E70">
        <f t="shared" si="18"/>
        <v>100000</v>
      </c>
      <c r="F70">
        <f t="shared" si="19"/>
        <v>100</v>
      </c>
      <c r="G70" s="1">
        <v>101.6</v>
      </c>
      <c r="H70">
        <f t="shared" si="20"/>
        <v>101600</v>
      </c>
      <c r="I70">
        <f t="shared" si="21"/>
        <v>22.188815393866506</v>
      </c>
      <c r="K70" t="str">
        <f t="shared" ref="K70:K133" si="22">IF(I70 &lt; -1, "馬上買入CB,賣出現股",
 IF(I70 &lt; 3.5,  "考慮買入CB,賣出現股",
 IF(I70 &lt; 7,  "中立",
 IF(I70 &lt; 15, "考慮賣出CB,買入現股",
 IF(I70 &lt; 30, "賣出CB,買入現股",
             "馬上賣出CB,買入現股")))))</f>
        <v>賣出CB,買入現股</v>
      </c>
      <c r="L70" t="str">
        <f t="shared" ref="L70:L133" si="23">IF(I70 &lt; -1, "套利警報：訊號出現！立即精算所有交易成本，確認利潤空間。(或有轉換價值)",
 IF(I70 &lt; 3.5,  "最佳買點：此時買入CB的性價比最高，是建立多頭部位的首選。(到期日前還是得轉換)",
 IF(I70 &lt; 7,  "安心持有：價格合理，享受CB攻守兼備的特性。(到期日前還是得轉換)",
 IF(I70 &lt; 15, "評估信心 (1)：保險費開始變貴，開始問自己：我是否該為了更高報酬而放棄保險？(到期日前還是得轉換)",
 IF(I70 &lt; 30, "評估信心 (2)：保險費很貴！若非極度看好後市，否則持有現股的機會成本很高。以最大化潛在獲利。(到期日前還是得轉換)",
             "強烈行動訊號：保險費極貴！將「帳面獲利」轉化為「實際報酬潛力」，避免因高溢價而壓縮未來上漲空間。(到期日前還是得轉換)")))))</f>
        <v>評估信心 (2)：保險費很貴！若非極度看好後市，否則持有現股的機會成本很高。以最大化潛在獲利。(到期日前還是得轉換)</v>
      </c>
    </row>
    <row r="71" spans="1:12" x14ac:dyDescent="0.4">
      <c r="A71" s="18">
        <v>45974</v>
      </c>
      <c r="B71" s="1">
        <v>250</v>
      </c>
      <c r="C71">
        <v>308</v>
      </c>
      <c r="D71" s="2">
        <f t="shared" si="17"/>
        <v>81206</v>
      </c>
      <c r="E71">
        <f t="shared" si="18"/>
        <v>100000</v>
      </c>
      <c r="F71">
        <f t="shared" si="19"/>
        <v>100</v>
      </c>
      <c r="G71" s="1">
        <v>101.1</v>
      </c>
      <c r="H71">
        <f t="shared" si="20"/>
        <v>101100</v>
      </c>
      <c r="I71">
        <f t="shared" si="21"/>
        <v>24.49818978893185</v>
      </c>
      <c r="K71" t="str">
        <f t="shared" si="22"/>
        <v>賣出CB,買入現股</v>
      </c>
      <c r="L71" t="str">
        <f t="shared" si="23"/>
        <v>評估信心 (2)：保險費很貴！若非極度看好後市，否則持有現股的機會成本很高。以最大化潛在獲利。(到期日前還是得轉換)</v>
      </c>
    </row>
    <row r="72" spans="1:12" x14ac:dyDescent="0.4">
      <c r="A72" s="18">
        <v>45975</v>
      </c>
      <c r="B72" s="1">
        <v>240</v>
      </c>
      <c r="C72">
        <v>308</v>
      </c>
      <c r="D72" s="2">
        <f t="shared" si="17"/>
        <v>77966</v>
      </c>
      <c r="E72">
        <f t="shared" si="18"/>
        <v>100000</v>
      </c>
      <c r="F72">
        <f t="shared" si="19"/>
        <v>100</v>
      </c>
      <c r="G72" s="1">
        <v>100.5</v>
      </c>
      <c r="H72">
        <f t="shared" si="20"/>
        <v>100500</v>
      </c>
      <c r="I72">
        <f t="shared" si="21"/>
        <v>28.902342046533104</v>
      </c>
      <c r="K72" t="str">
        <f t="shared" si="22"/>
        <v>賣出CB,買入現股</v>
      </c>
      <c r="L72" t="str">
        <f t="shared" si="23"/>
        <v>評估信心 (2)：保險費很貴！若非極度看好後市，否則持有現股的機會成本很高。以最大化潛在獲利。(到期日前還是得轉換)</v>
      </c>
    </row>
    <row r="73" spans="1:12" x14ac:dyDescent="0.4">
      <c r="A73" s="18">
        <v>45976</v>
      </c>
      <c r="B73" s="1">
        <v>240</v>
      </c>
      <c r="C73">
        <v>308</v>
      </c>
      <c r="D73" s="2">
        <f t="shared" si="17"/>
        <v>77966</v>
      </c>
      <c r="E73">
        <f t="shared" si="18"/>
        <v>100000</v>
      </c>
      <c r="F73">
        <f t="shared" si="19"/>
        <v>100</v>
      </c>
      <c r="G73" s="1">
        <v>100.5</v>
      </c>
      <c r="H73">
        <f t="shared" si="20"/>
        <v>100500</v>
      </c>
      <c r="I73">
        <f t="shared" si="21"/>
        <v>28.902342046533104</v>
      </c>
      <c r="K73" t="str">
        <f t="shared" si="22"/>
        <v>賣出CB,買入現股</v>
      </c>
      <c r="L73" t="str">
        <f t="shared" si="23"/>
        <v>評估信心 (2)：保險費很貴！若非極度看好後市，否則持有現股的機會成本很高。以最大化潛在獲利。(到期日前還是得轉換)</v>
      </c>
    </row>
    <row r="74" spans="1:12" x14ac:dyDescent="0.4">
      <c r="A74" s="18">
        <v>45977</v>
      </c>
      <c r="B74" s="1">
        <v>240</v>
      </c>
      <c r="C74">
        <v>308</v>
      </c>
      <c r="D74" s="2">
        <f t="shared" si="17"/>
        <v>77966</v>
      </c>
      <c r="E74">
        <f t="shared" si="18"/>
        <v>100000</v>
      </c>
      <c r="F74">
        <f t="shared" si="19"/>
        <v>100</v>
      </c>
      <c r="G74" s="1">
        <v>100.5</v>
      </c>
      <c r="H74">
        <f t="shared" si="20"/>
        <v>100500</v>
      </c>
      <c r="I74">
        <f t="shared" si="21"/>
        <v>28.902342046533104</v>
      </c>
      <c r="K74" t="str">
        <f t="shared" si="22"/>
        <v>賣出CB,買入現股</v>
      </c>
      <c r="L74" t="str">
        <f t="shared" si="23"/>
        <v>評估信心 (2)：保險費很貴！若非極度看好後市，否則持有現股的機會成本很高。以最大化潛在獲利。(到期日前還是得轉換)</v>
      </c>
    </row>
    <row r="75" spans="1:12" x14ac:dyDescent="0.4">
      <c r="A75" s="18">
        <v>45978</v>
      </c>
      <c r="B75" s="1">
        <v>264</v>
      </c>
      <c r="C75">
        <v>308</v>
      </c>
      <c r="D75" s="2">
        <f t="shared" si="17"/>
        <v>85742</v>
      </c>
      <c r="E75">
        <f t="shared" si="18"/>
        <v>100000</v>
      </c>
      <c r="F75">
        <f t="shared" si="19"/>
        <v>100</v>
      </c>
      <c r="G75" s="1">
        <v>106.2</v>
      </c>
      <c r="H75">
        <f t="shared" si="20"/>
        <v>106200</v>
      </c>
      <c r="I75">
        <f t="shared" si="21"/>
        <v>23.859951948869863</v>
      </c>
      <c r="K75" t="str">
        <f t="shared" si="22"/>
        <v>賣出CB,買入現股</v>
      </c>
      <c r="L75" t="str">
        <f t="shared" si="23"/>
        <v>評估信心 (2)：保險費很貴！若非極度看好後市，否則持有現股的機會成本很高。以最大化潛在獲利。(到期日前還是得轉換)</v>
      </c>
    </row>
    <row r="76" spans="1:12" x14ac:dyDescent="0.4">
      <c r="A76" s="18">
        <v>45979</v>
      </c>
      <c r="B76" s="1">
        <v>267.5</v>
      </c>
      <c r="C76">
        <v>308</v>
      </c>
      <c r="D76" s="2">
        <f t="shared" si="17"/>
        <v>86876</v>
      </c>
      <c r="E76">
        <f t="shared" si="18"/>
        <v>100000</v>
      </c>
      <c r="F76">
        <f t="shared" si="19"/>
        <v>100</v>
      </c>
      <c r="G76" s="1">
        <v>102</v>
      </c>
      <c r="H76">
        <f t="shared" si="20"/>
        <v>102000</v>
      </c>
      <c r="I76">
        <f t="shared" si="21"/>
        <v>17.408720475159996</v>
      </c>
      <c r="K76" t="str">
        <f t="shared" si="22"/>
        <v>賣出CB,買入現股</v>
      </c>
      <c r="L76" t="str">
        <f t="shared" si="23"/>
        <v>評估信心 (2)：保險費很貴！若非極度看好後市，否則持有現股的機會成本很高。以最大化潛在獲利。(到期日前還是得轉換)</v>
      </c>
    </row>
    <row r="77" spans="1:12" x14ac:dyDescent="0.4">
      <c r="A77" s="18">
        <v>45980</v>
      </c>
      <c r="B77" s="1">
        <v>264.5</v>
      </c>
      <c r="C77">
        <v>308</v>
      </c>
      <c r="D77" s="2">
        <f t="shared" si="17"/>
        <v>85904</v>
      </c>
      <c r="E77">
        <f t="shared" si="18"/>
        <v>100000</v>
      </c>
      <c r="F77">
        <f t="shared" si="19"/>
        <v>100</v>
      </c>
      <c r="G77" s="1">
        <v>101</v>
      </c>
      <c r="H77">
        <f t="shared" si="20"/>
        <v>101000</v>
      </c>
      <c r="I77">
        <f t="shared" si="21"/>
        <v>17.573104861240456</v>
      </c>
      <c r="K77" t="str">
        <f t="shared" si="22"/>
        <v>賣出CB,買入現股</v>
      </c>
      <c r="L77" t="str">
        <f t="shared" si="23"/>
        <v>評估信心 (2)：保險費很貴！若非極度看好後市，否則持有現股的機會成本很高。以最大化潛在獲利。(到期日前還是得轉換)</v>
      </c>
    </row>
    <row r="78" spans="1:12" x14ac:dyDescent="0.4">
      <c r="A78" s="18">
        <v>45981</v>
      </c>
      <c r="B78" s="1">
        <v>265</v>
      </c>
      <c r="C78">
        <v>308</v>
      </c>
      <c r="D78" s="2">
        <f t="shared" si="17"/>
        <v>86066</v>
      </c>
      <c r="E78">
        <f t="shared" si="18"/>
        <v>100000</v>
      </c>
      <c r="F78">
        <f t="shared" si="19"/>
        <v>100</v>
      </c>
      <c r="G78" s="1">
        <v>101.25</v>
      </c>
      <c r="H78">
        <f t="shared" si="20"/>
        <v>101250</v>
      </c>
      <c r="I78">
        <f t="shared" si="21"/>
        <v>17.642274533497549</v>
      </c>
      <c r="K78" t="str">
        <f t="shared" si="22"/>
        <v>賣出CB,買入現股</v>
      </c>
      <c r="L78" t="str">
        <f t="shared" si="23"/>
        <v>評估信心 (2)：保險費很貴！若非極度看好後市，否則持有現股的機會成本很高。以最大化潛在獲利。(到期日前還是得轉換)</v>
      </c>
    </row>
    <row r="79" spans="1:12" x14ac:dyDescent="0.4">
      <c r="A79" s="18">
        <v>45982</v>
      </c>
      <c r="B79" s="1">
        <v>267</v>
      </c>
      <c r="C79">
        <v>308</v>
      </c>
      <c r="D79" s="2">
        <f t="shared" si="17"/>
        <v>86714</v>
      </c>
      <c r="E79">
        <f t="shared" si="18"/>
        <v>100000</v>
      </c>
      <c r="F79">
        <f t="shared" si="19"/>
        <v>100</v>
      </c>
      <c r="G79" s="1">
        <v>100.7</v>
      </c>
      <c r="H79">
        <f t="shared" si="20"/>
        <v>100700</v>
      </c>
      <c r="I79">
        <f t="shared" si="21"/>
        <v>16.128883455958668</v>
      </c>
      <c r="K79" t="str">
        <f t="shared" si="22"/>
        <v>賣出CB,買入現股</v>
      </c>
      <c r="L79" t="str">
        <f t="shared" si="23"/>
        <v>評估信心 (2)：保險費很貴！若非極度看好後市，否則持有現股的機會成本很高。以最大化潛在獲利。(到期日前還是得轉換)</v>
      </c>
    </row>
    <row r="80" spans="1:12" x14ac:dyDescent="0.4">
      <c r="A80" s="18">
        <v>45983</v>
      </c>
      <c r="B80" s="1">
        <v>267</v>
      </c>
      <c r="C80">
        <v>308</v>
      </c>
      <c r="D80" s="2">
        <f t="shared" si="17"/>
        <v>86714</v>
      </c>
      <c r="E80">
        <f t="shared" si="18"/>
        <v>100000</v>
      </c>
      <c r="F80">
        <f t="shared" si="19"/>
        <v>100</v>
      </c>
      <c r="G80" s="1">
        <v>100.7</v>
      </c>
      <c r="H80">
        <f t="shared" si="20"/>
        <v>100700</v>
      </c>
      <c r="I80">
        <f t="shared" si="21"/>
        <v>16.128883455958668</v>
      </c>
      <c r="K80" t="str">
        <f t="shared" si="22"/>
        <v>賣出CB,買入現股</v>
      </c>
      <c r="L80" t="str">
        <f t="shared" si="23"/>
        <v>評估信心 (2)：保險費很貴！若非極度看好後市，否則持有現股的機會成本很高。以最大化潛在獲利。(到期日前還是得轉換)</v>
      </c>
    </row>
    <row r="81" spans="1:12" x14ac:dyDescent="0.4">
      <c r="A81" s="18">
        <v>45984</v>
      </c>
      <c r="B81" s="1">
        <v>267</v>
      </c>
      <c r="C81">
        <v>308</v>
      </c>
      <c r="D81" s="2">
        <f t="shared" si="17"/>
        <v>86714</v>
      </c>
      <c r="E81">
        <f t="shared" si="18"/>
        <v>100000</v>
      </c>
      <c r="F81">
        <f t="shared" si="19"/>
        <v>100</v>
      </c>
      <c r="G81" s="1">
        <v>100.7</v>
      </c>
      <c r="H81">
        <f t="shared" si="20"/>
        <v>100700</v>
      </c>
      <c r="I81">
        <f t="shared" si="21"/>
        <v>16.128883455958668</v>
      </c>
      <c r="K81" t="str">
        <f t="shared" si="22"/>
        <v>賣出CB,買入現股</v>
      </c>
      <c r="L81" t="str">
        <f t="shared" si="23"/>
        <v>評估信心 (2)：保險費很貴！若非極度看好後市，否則持有現股的機會成本很高。以最大化潛在獲利。(到期日前還是得轉換)</v>
      </c>
    </row>
    <row r="82" spans="1:12" x14ac:dyDescent="0.4">
      <c r="A82" s="18">
        <v>45985</v>
      </c>
      <c r="B82" s="1">
        <v>273</v>
      </c>
      <c r="C82">
        <v>308</v>
      </c>
      <c r="D82" s="2">
        <f t="shared" si="17"/>
        <v>88658</v>
      </c>
      <c r="E82">
        <f t="shared" si="18"/>
        <v>100000</v>
      </c>
      <c r="F82">
        <f t="shared" si="19"/>
        <v>100</v>
      </c>
      <c r="G82" s="1">
        <v>101.45</v>
      </c>
      <c r="H82">
        <f t="shared" si="20"/>
        <v>101450</v>
      </c>
      <c r="I82">
        <f t="shared" si="21"/>
        <v>14.42847797153105</v>
      </c>
      <c r="K82" t="str">
        <f t="shared" si="22"/>
        <v>考慮賣出CB,買入現股</v>
      </c>
      <c r="L82" t="str">
        <f t="shared" si="23"/>
        <v>評估信心 (1)：保險費開始變貴，開始問自己：我是否該為了更高報酬而放棄保險？(到期日前還是得轉換)</v>
      </c>
    </row>
    <row r="83" spans="1:12" x14ac:dyDescent="0.4">
      <c r="A83" s="18">
        <v>45986</v>
      </c>
      <c r="B83" s="1">
        <v>270</v>
      </c>
      <c r="C83">
        <v>308</v>
      </c>
      <c r="D83" s="2">
        <f t="shared" si="17"/>
        <v>87686</v>
      </c>
      <c r="E83">
        <f t="shared" si="18"/>
        <v>100000</v>
      </c>
      <c r="F83">
        <f t="shared" si="19"/>
        <v>100</v>
      </c>
      <c r="G83" s="1">
        <v>102</v>
      </c>
      <c r="H83">
        <f t="shared" si="20"/>
        <v>102000</v>
      </c>
      <c r="I83">
        <f t="shared" si="21"/>
        <v>16.324156649864289</v>
      </c>
      <c r="K83" t="str">
        <f t="shared" si="22"/>
        <v>賣出CB,買入現股</v>
      </c>
      <c r="L83" t="str">
        <f t="shared" si="23"/>
        <v>評估信心 (2)：保險費很貴！若非極度看好後市，否則持有現股的機會成本很高。以最大化潛在獲利。(到期日前還是得轉換)</v>
      </c>
    </row>
    <row r="84" spans="1:12" x14ac:dyDescent="0.4">
      <c r="A84" s="18">
        <v>45987</v>
      </c>
      <c r="B84" s="1">
        <v>276.5</v>
      </c>
      <c r="C84">
        <v>308</v>
      </c>
      <c r="D84" s="2">
        <f t="shared" si="17"/>
        <v>89792</v>
      </c>
      <c r="E84">
        <f t="shared" si="18"/>
        <v>100000</v>
      </c>
      <c r="F84">
        <f t="shared" si="19"/>
        <v>100</v>
      </c>
      <c r="G84" s="1">
        <v>102</v>
      </c>
      <c r="H84">
        <f t="shared" si="20"/>
        <v>102000</v>
      </c>
      <c r="I84">
        <f t="shared" si="21"/>
        <v>13.595866001425517</v>
      </c>
      <c r="J84" t="s">
        <v>98</v>
      </c>
      <c r="K84" t="str">
        <f t="shared" si="22"/>
        <v>考慮賣出CB,買入現股</v>
      </c>
      <c r="L84" t="str">
        <f t="shared" si="23"/>
        <v>評估信心 (1)：保險費開始變貴，開始問自己：我是否該為了更高報酬而放棄保險？(到期日前還是得轉換)</v>
      </c>
    </row>
    <row r="85" spans="1:12" x14ac:dyDescent="0.4">
      <c r="A85" s="18">
        <v>45988</v>
      </c>
      <c r="B85" s="1">
        <v>278</v>
      </c>
      <c r="C85">
        <v>308</v>
      </c>
      <c r="D85" s="2">
        <f t="shared" si="17"/>
        <v>90278</v>
      </c>
      <c r="E85">
        <f t="shared" si="18"/>
        <v>100000</v>
      </c>
      <c r="F85">
        <f t="shared" si="19"/>
        <v>100</v>
      </c>
      <c r="G85" s="1">
        <v>102</v>
      </c>
      <c r="H85">
        <f t="shared" si="20"/>
        <v>102000</v>
      </c>
      <c r="I85">
        <f t="shared" si="21"/>
        <v>12.984337269323646</v>
      </c>
      <c r="K85" t="str">
        <f t="shared" si="22"/>
        <v>考慮賣出CB,買入現股</v>
      </c>
      <c r="L85" t="str">
        <f t="shared" si="23"/>
        <v>評估信心 (1)：保險費開始變貴，開始問自己：我是否該為了更高報酬而放棄保險？(到期日前還是得轉換)</v>
      </c>
    </row>
    <row r="86" spans="1:12" x14ac:dyDescent="0.4">
      <c r="A86" s="18">
        <v>45989</v>
      </c>
      <c r="B86" s="1">
        <v>282.5</v>
      </c>
      <c r="C86">
        <v>308</v>
      </c>
      <c r="D86" s="2">
        <f t="shared" si="17"/>
        <v>91736</v>
      </c>
      <c r="E86">
        <f t="shared" si="18"/>
        <v>100000</v>
      </c>
      <c r="F86">
        <f t="shared" si="19"/>
        <v>100</v>
      </c>
      <c r="G86" s="1">
        <v>103.95</v>
      </c>
      <c r="H86">
        <f t="shared" si="20"/>
        <v>103950</v>
      </c>
      <c r="I86">
        <f t="shared" si="21"/>
        <v>13.314293189151478</v>
      </c>
      <c r="K86" t="str">
        <f t="shared" si="22"/>
        <v>考慮賣出CB,買入現股</v>
      </c>
      <c r="L86" t="str">
        <f t="shared" si="23"/>
        <v>評估信心 (1)：保險費開始變貴，開始問自己：我是否該為了更高報酬而放棄保險？(到期日前還是得轉換)</v>
      </c>
    </row>
    <row r="87" spans="1:12" x14ac:dyDescent="0.4">
      <c r="A87" s="18">
        <v>45990</v>
      </c>
      <c r="B87" s="1">
        <v>282.5</v>
      </c>
      <c r="C87">
        <v>308</v>
      </c>
      <c r="D87" s="2">
        <f t="shared" si="17"/>
        <v>91736</v>
      </c>
      <c r="E87">
        <f t="shared" si="18"/>
        <v>100000</v>
      </c>
      <c r="F87">
        <f t="shared" si="19"/>
        <v>100</v>
      </c>
      <c r="G87" s="1">
        <v>103.95</v>
      </c>
      <c r="H87">
        <f t="shared" si="20"/>
        <v>103950</v>
      </c>
      <c r="I87">
        <f t="shared" si="21"/>
        <v>13.314293189151478</v>
      </c>
      <c r="K87" t="str">
        <f t="shared" si="22"/>
        <v>考慮賣出CB,買入現股</v>
      </c>
      <c r="L87" t="str">
        <f t="shared" si="23"/>
        <v>評估信心 (1)：保險費開始變貴，開始問自己：我是否該為了更高報酬而放棄保險？(到期日前還是得轉換)</v>
      </c>
    </row>
    <row r="88" spans="1:12" x14ac:dyDescent="0.4">
      <c r="A88" s="18">
        <v>45991</v>
      </c>
      <c r="B88" s="1">
        <v>282.5</v>
      </c>
      <c r="C88">
        <v>308</v>
      </c>
      <c r="D88" s="2">
        <f t="shared" si="17"/>
        <v>91736</v>
      </c>
      <c r="E88">
        <f t="shared" si="18"/>
        <v>100000</v>
      </c>
      <c r="F88">
        <f t="shared" si="19"/>
        <v>100</v>
      </c>
      <c r="G88" s="1">
        <v>103.95</v>
      </c>
      <c r="H88">
        <f t="shared" si="20"/>
        <v>103950</v>
      </c>
      <c r="I88">
        <f t="shared" si="21"/>
        <v>13.314293189151478</v>
      </c>
      <c r="K88" t="str">
        <f t="shared" si="22"/>
        <v>考慮賣出CB,買入現股</v>
      </c>
      <c r="L88" t="str">
        <f t="shared" si="23"/>
        <v>評估信心 (1)：保險費開始變貴，開始問自己：我是否該為了更高報酬而放棄保險？(到期日前還是得轉換)</v>
      </c>
    </row>
    <row r="89" spans="1:12" x14ac:dyDescent="0.4">
      <c r="A89" s="18">
        <v>45992</v>
      </c>
      <c r="B89" s="1">
        <v>283.5</v>
      </c>
      <c r="C89">
        <v>308</v>
      </c>
      <c r="D89" s="2">
        <f t="shared" si="17"/>
        <v>92060</v>
      </c>
      <c r="E89">
        <f t="shared" si="18"/>
        <v>100000</v>
      </c>
      <c r="F89">
        <f t="shared" si="19"/>
        <v>100</v>
      </c>
      <c r="G89" s="1">
        <v>105.9</v>
      </c>
      <c r="H89">
        <f t="shared" si="20"/>
        <v>105900</v>
      </c>
      <c r="I89">
        <f t="shared" si="21"/>
        <v>15.033673691071039</v>
      </c>
      <c r="K89" t="str">
        <f t="shared" si="22"/>
        <v>賣出CB,買入現股</v>
      </c>
      <c r="L89" t="str">
        <f t="shared" si="23"/>
        <v>評估信心 (2)：保險費很貴！若非極度看好後市，否則持有現股的機會成本很高。以最大化潛在獲利。(到期日前還是得轉換)</v>
      </c>
    </row>
    <row r="90" spans="1:12" x14ac:dyDescent="0.4">
      <c r="A90" s="18">
        <v>45993</v>
      </c>
      <c r="B90" s="1">
        <v>277</v>
      </c>
      <c r="C90">
        <v>308</v>
      </c>
      <c r="D90" s="2">
        <f t="shared" si="17"/>
        <v>89954</v>
      </c>
      <c r="E90">
        <f t="shared" si="18"/>
        <v>100000</v>
      </c>
      <c r="F90">
        <f t="shared" si="19"/>
        <v>100</v>
      </c>
      <c r="G90" s="1">
        <v>105</v>
      </c>
      <c r="H90">
        <f t="shared" si="20"/>
        <v>105000</v>
      </c>
      <c r="I90">
        <f t="shared" si="21"/>
        <v>16.726326789247839</v>
      </c>
      <c r="K90" t="str">
        <f t="shared" si="22"/>
        <v>賣出CB,買入現股</v>
      </c>
      <c r="L90" t="str">
        <f t="shared" si="23"/>
        <v>評估信心 (2)：保險費很貴！若非極度看好後市，否則持有現股的機會成本很高。以最大化潛在獲利。(到期日前還是得轉換)</v>
      </c>
    </row>
    <row r="91" spans="1:12" x14ac:dyDescent="0.4">
      <c r="A91" s="18">
        <v>45994</v>
      </c>
      <c r="B91" s="1">
        <v>267.5</v>
      </c>
      <c r="C91">
        <v>308</v>
      </c>
      <c r="D91" s="2">
        <f t="shared" si="17"/>
        <v>86876</v>
      </c>
      <c r="E91">
        <f t="shared" si="18"/>
        <v>100000</v>
      </c>
      <c r="F91">
        <f t="shared" si="19"/>
        <v>100</v>
      </c>
      <c r="G91" s="1">
        <v>104.75</v>
      </c>
      <c r="H91">
        <f t="shared" si="20"/>
        <v>104750</v>
      </c>
      <c r="I91">
        <f t="shared" si="21"/>
        <v>20.574151664441274</v>
      </c>
      <c r="K91" t="str">
        <f t="shared" si="22"/>
        <v>賣出CB,買入現股</v>
      </c>
      <c r="L91" t="str">
        <f t="shared" si="23"/>
        <v>評估信心 (2)：保險費很貴！若非極度看好後市，否則持有現股的機會成本很高。以最大化潛在獲利。(到期日前還是得轉換)</v>
      </c>
    </row>
    <row r="92" spans="1:12" x14ac:dyDescent="0.4">
      <c r="A92" s="18">
        <v>45995</v>
      </c>
      <c r="B92" s="1">
        <v>271</v>
      </c>
      <c r="C92">
        <v>308</v>
      </c>
      <c r="D92" s="2">
        <f t="shared" si="17"/>
        <v>88010</v>
      </c>
      <c r="E92">
        <f t="shared" si="18"/>
        <v>100000</v>
      </c>
      <c r="F92">
        <f t="shared" si="19"/>
        <v>100</v>
      </c>
      <c r="G92" s="1">
        <v>105</v>
      </c>
      <c r="H92">
        <f t="shared" si="20"/>
        <v>105000</v>
      </c>
      <c r="I92">
        <f t="shared" si="21"/>
        <v>19.304624474491536</v>
      </c>
      <c r="K92" t="str">
        <f t="shared" si="22"/>
        <v>賣出CB,買入現股</v>
      </c>
      <c r="L92" t="str">
        <f t="shared" si="23"/>
        <v>評估信心 (2)：保險費很貴！若非極度看好後市，否則持有現股的機會成本很高。以最大化潛在獲利。(到期日前還是得轉換)</v>
      </c>
    </row>
    <row r="93" spans="1:12" x14ac:dyDescent="0.4">
      <c r="A93" s="18">
        <v>45996</v>
      </c>
      <c r="B93" s="1">
        <v>270</v>
      </c>
      <c r="C93">
        <v>308</v>
      </c>
      <c r="D93" s="2">
        <f t="shared" si="17"/>
        <v>87686</v>
      </c>
      <c r="E93">
        <f t="shared" si="18"/>
        <v>100000</v>
      </c>
      <c r="F93">
        <f t="shared" si="19"/>
        <v>100</v>
      </c>
      <c r="G93" s="1">
        <v>102.65</v>
      </c>
      <c r="H93">
        <f t="shared" si="20"/>
        <v>102650</v>
      </c>
      <c r="I93">
        <f t="shared" si="21"/>
        <v>17.065438040280089</v>
      </c>
      <c r="K93" t="str">
        <f t="shared" si="22"/>
        <v>賣出CB,買入現股</v>
      </c>
      <c r="L93" t="str">
        <f t="shared" si="23"/>
        <v>評估信心 (2)：保險費很貴！若非極度看好後市，否則持有現股的機會成本很高。以最大化潛在獲利。(到期日前還是得轉換)</v>
      </c>
    </row>
    <row r="94" spans="1:12" x14ac:dyDescent="0.4">
      <c r="A94" s="18">
        <v>45997</v>
      </c>
      <c r="B94" s="1">
        <v>270</v>
      </c>
      <c r="C94">
        <v>308</v>
      </c>
      <c r="D94" s="2">
        <f t="shared" si="17"/>
        <v>87686</v>
      </c>
      <c r="E94">
        <f t="shared" si="18"/>
        <v>100000</v>
      </c>
      <c r="F94">
        <f t="shared" si="19"/>
        <v>100</v>
      </c>
      <c r="G94" s="1">
        <v>106.2</v>
      </c>
      <c r="H94">
        <f t="shared" si="20"/>
        <v>106200</v>
      </c>
      <c r="I94">
        <f t="shared" si="21"/>
        <v>21.113974864858701</v>
      </c>
      <c r="K94" t="str">
        <f t="shared" si="22"/>
        <v>賣出CB,買入現股</v>
      </c>
      <c r="L94" t="str">
        <f t="shared" si="23"/>
        <v>評估信心 (2)：保險費很貴！若非極度看好後市，否則持有現股的機會成本很高。以最大化潛在獲利。(到期日前還是得轉換)</v>
      </c>
    </row>
    <row r="95" spans="1:12" x14ac:dyDescent="0.4">
      <c r="A95" s="18">
        <v>45998</v>
      </c>
      <c r="B95" s="1">
        <v>309</v>
      </c>
      <c r="C95">
        <v>308</v>
      </c>
      <c r="D95" s="2">
        <f t="shared" si="17"/>
        <v>100322</v>
      </c>
      <c r="E95">
        <f t="shared" si="18"/>
        <v>100322</v>
      </c>
      <c r="F95">
        <f t="shared" si="19"/>
        <v>100.322</v>
      </c>
      <c r="G95" s="1">
        <v>106.2</v>
      </c>
      <c r="H95">
        <f t="shared" si="20"/>
        <v>106200</v>
      </c>
      <c r="I95">
        <f t="shared" si="21"/>
        <v>5.8591335898407131</v>
      </c>
      <c r="K95" t="str">
        <f t="shared" si="22"/>
        <v>中立</v>
      </c>
      <c r="L95" t="str">
        <f t="shared" si="23"/>
        <v>安心持有：價格合理，享受CB攻守兼備的特性。(到期日前還是得轉換)</v>
      </c>
    </row>
    <row r="96" spans="1:12" x14ac:dyDescent="0.4">
      <c r="A96" s="18">
        <v>45999</v>
      </c>
      <c r="B96" s="1">
        <v>309</v>
      </c>
      <c r="C96">
        <v>308</v>
      </c>
      <c r="D96" s="2">
        <f t="shared" si="17"/>
        <v>100322</v>
      </c>
      <c r="E96">
        <f t="shared" si="18"/>
        <v>100322</v>
      </c>
      <c r="F96">
        <f t="shared" si="19"/>
        <v>100.322</v>
      </c>
      <c r="G96" s="1">
        <v>106.2</v>
      </c>
      <c r="H96">
        <f t="shared" si="20"/>
        <v>106200</v>
      </c>
      <c r="I96">
        <f t="shared" si="21"/>
        <v>5.8591335898407131</v>
      </c>
      <c r="K96" t="str">
        <f t="shared" si="22"/>
        <v>中立</v>
      </c>
      <c r="L96" t="str">
        <f t="shared" si="23"/>
        <v>安心持有：價格合理，享受CB攻守兼備的特性。(到期日前還是得轉換)</v>
      </c>
    </row>
    <row r="97" spans="1:12" x14ac:dyDescent="0.4">
      <c r="A97" s="18">
        <v>46000</v>
      </c>
      <c r="B97" s="1">
        <v>309</v>
      </c>
      <c r="C97">
        <v>308</v>
      </c>
      <c r="D97" s="2">
        <f t="shared" si="17"/>
        <v>100322</v>
      </c>
      <c r="E97">
        <f t="shared" si="18"/>
        <v>100322</v>
      </c>
      <c r="F97">
        <f t="shared" si="19"/>
        <v>100.322</v>
      </c>
      <c r="G97" s="1">
        <v>106.2</v>
      </c>
      <c r="H97">
        <f t="shared" si="20"/>
        <v>106200</v>
      </c>
      <c r="I97">
        <f t="shared" si="21"/>
        <v>5.8591335898407131</v>
      </c>
      <c r="K97" t="str">
        <f t="shared" si="22"/>
        <v>中立</v>
      </c>
      <c r="L97" t="str">
        <f t="shared" si="23"/>
        <v>安心持有：價格合理，享受CB攻守兼備的特性。(到期日前還是得轉換)</v>
      </c>
    </row>
    <row r="98" spans="1:12" x14ac:dyDescent="0.4">
      <c r="A98" s="18">
        <v>46001</v>
      </c>
      <c r="B98" s="1">
        <v>309</v>
      </c>
      <c r="C98">
        <v>308</v>
      </c>
      <c r="D98" s="2">
        <f t="shared" si="17"/>
        <v>100322</v>
      </c>
      <c r="E98">
        <f t="shared" si="18"/>
        <v>100322</v>
      </c>
      <c r="F98">
        <f t="shared" si="19"/>
        <v>100.322</v>
      </c>
      <c r="G98" s="1">
        <v>106.2</v>
      </c>
      <c r="H98">
        <f t="shared" si="20"/>
        <v>106200</v>
      </c>
      <c r="I98">
        <f t="shared" si="21"/>
        <v>5.8591335898407131</v>
      </c>
      <c r="K98" t="str">
        <f t="shared" si="22"/>
        <v>中立</v>
      </c>
      <c r="L98" t="str">
        <f t="shared" si="23"/>
        <v>安心持有：價格合理，享受CB攻守兼備的特性。(到期日前還是得轉換)</v>
      </c>
    </row>
    <row r="99" spans="1:12" x14ac:dyDescent="0.4">
      <c r="A99" s="18">
        <v>46002</v>
      </c>
      <c r="B99" s="1">
        <v>309</v>
      </c>
      <c r="C99">
        <v>308</v>
      </c>
      <c r="D99" s="2">
        <f t="shared" si="17"/>
        <v>100322</v>
      </c>
      <c r="E99">
        <f t="shared" si="18"/>
        <v>100322</v>
      </c>
      <c r="F99">
        <f t="shared" si="19"/>
        <v>100.322</v>
      </c>
      <c r="G99" s="1">
        <v>106.2</v>
      </c>
      <c r="H99">
        <f t="shared" si="20"/>
        <v>106200</v>
      </c>
      <c r="I99">
        <f t="shared" si="21"/>
        <v>5.8591335898407131</v>
      </c>
      <c r="K99" t="str">
        <f t="shared" si="22"/>
        <v>中立</v>
      </c>
      <c r="L99" t="str">
        <f t="shared" si="23"/>
        <v>安心持有：價格合理，享受CB攻守兼備的特性。(到期日前還是得轉換)</v>
      </c>
    </row>
    <row r="100" spans="1:12" x14ac:dyDescent="0.4">
      <c r="A100" s="18">
        <v>46003</v>
      </c>
      <c r="B100" s="1">
        <v>309</v>
      </c>
      <c r="C100">
        <v>308</v>
      </c>
      <c r="D100" s="2">
        <f t="shared" si="17"/>
        <v>100322</v>
      </c>
      <c r="E100">
        <f t="shared" si="18"/>
        <v>100322</v>
      </c>
      <c r="F100">
        <f t="shared" si="19"/>
        <v>100.322</v>
      </c>
      <c r="G100" s="1">
        <v>106.2</v>
      </c>
      <c r="H100">
        <f t="shared" si="20"/>
        <v>106200</v>
      </c>
      <c r="I100">
        <f t="shared" si="21"/>
        <v>5.8591335898407131</v>
      </c>
      <c r="K100" t="str">
        <f t="shared" si="22"/>
        <v>中立</v>
      </c>
      <c r="L100" t="str">
        <f t="shared" si="23"/>
        <v>安心持有：價格合理，享受CB攻守兼備的特性。(到期日前還是得轉換)</v>
      </c>
    </row>
    <row r="101" spans="1:12" x14ac:dyDescent="0.4">
      <c r="A101" s="18">
        <v>46004</v>
      </c>
      <c r="B101" s="1">
        <v>309</v>
      </c>
      <c r="C101">
        <v>308</v>
      </c>
      <c r="D101" s="2">
        <f t="shared" si="17"/>
        <v>100322</v>
      </c>
      <c r="E101">
        <f t="shared" si="18"/>
        <v>100322</v>
      </c>
      <c r="F101">
        <f t="shared" si="19"/>
        <v>100.322</v>
      </c>
      <c r="G101" s="1">
        <v>106.2</v>
      </c>
      <c r="H101">
        <f t="shared" si="20"/>
        <v>106200</v>
      </c>
      <c r="I101">
        <f t="shared" si="21"/>
        <v>5.8591335898407131</v>
      </c>
      <c r="K101" t="str">
        <f t="shared" si="22"/>
        <v>中立</v>
      </c>
      <c r="L101" t="str">
        <f t="shared" si="23"/>
        <v>安心持有：價格合理，享受CB攻守兼備的特性。(到期日前還是得轉換)</v>
      </c>
    </row>
    <row r="102" spans="1:12" x14ac:dyDescent="0.4">
      <c r="A102" s="18">
        <v>46005</v>
      </c>
      <c r="B102" s="1">
        <v>309</v>
      </c>
      <c r="C102">
        <v>308</v>
      </c>
      <c r="D102" s="2">
        <f t="shared" si="17"/>
        <v>100322</v>
      </c>
      <c r="E102">
        <f t="shared" si="18"/>
        <v>100322</v>
      </c>
      <c r="F102">
        <f t="shared" si="19"/>
        <v>100.322</v>
      </c>
      <c r="G102" s="1">
        <v>106.2</v>
      </c>
      <c r="H102">
        <f t="shared" si="20"/>
        <v>106200</v>
      </c>
      <c r="I102">
        <f t="shared" si="21"/>
        <v>5.8591335898407131</v>
      </c>
      <c r="K102" t="str">
        <f t="shared" si="22"/>
        <v>中立</v>
      </c>
      <c r="L102" t="str">
        <f t="shared" si="23"/>
        <v>安心持有：價格合理，享受CB攻守兼備的特性。(到期日前還是得轉換)</v>
      </c>
    </row>
    <row r="103" spans="1:12" x14ac:dyDescent="0.4">
      <c r="A103" s="18">
        <v>46006</v>
      </c>
      <c r="B103" s="1">
        <v>309</v>
      </c>
      <c r="C103">
        <v>308</v>
      </c>
      <c r="D103" s="2">
        <f t="shared" si="17"/>
        <v>100322</v>
      </c>
      <c r="E103">
        <f t="shared" si="18"/>
        <v>100322</v>
      </c>
      <c r="F103">
        <f t="shared" si="19"/>
        <v>100.322</v>
      </c>
      <c r="G103" s="1">
        <v>106.2</v>
      </c>
      <c r="H103">
        <f t="shared" si="20"/>
        <v>106200</v>
      </c>
      <c r="I103">
        <f t="shared" si="21"/>
        <v>5.8591335898407131</v>
      </c>
      <c r="K103" t="str">
        <f t="shared" si="22"/>
        <v>中立</v>
      </c>
      <c r="L103" t="str">
        <f t="shared" si="23"/>
        <v>安心持有：價格合理，享受CB攻守兼備的特性。(到期日前還是得轉換)</v>
      </c>
    </row>
    <row r="104" spans="1:12" x14ac:dyDescent="0.4">
      <c r="A104" s="18">
        <v>46007</v>
      </c>
      <c r="B104" s="1">
        <v>309</v>
      </c>
      <c r="C104">
        <v>308</v>
      </c>
      <c r="D104" s="2">
        <f t="shared" ref="D104:D122" si="24">B104*324+206</f>
        <v>100322</v>
      </c>
      <c r="E104">
        <f t="shared" ref="E104:E122" si="25">MAX(D104, 100000)</f>
        <v>100322</v>
      </c>
      <c r="F104">
        <f t="shared" ref="F104:F122" si="26">E104/1000</f>
        <v>100.322</v>
      </c>
      <c r="G104" s="1">
        <v>106.2</v>
      </c>
      <c r="H104">
        <f t="shared" ref="H104:H122" si="27">G104*1000</f>
        <v>106200</v>
      </c>
      <c r="I104">
        <f t="shared" ref="I104:I122" si="28">(H104-D104)/D104 *100</f>
        <v>5.8591335898407131</v>
      </c>
      <c r="K104" t="str">
        <f t="shared" si="22"/>
        <v>中立</v>
      </c>
      <c r="L104" t="str">
        <f t="shared" si="23"/>
        <v>安心持有：價格合理，享受CB攻守兼備的特性。(到期日前還是得轉換)</v>
      </c>
    </row>
    <row r="105" spans="1:12" x14ac:dyDescent="0.4">
      <c r="A105" s="18">
        <v>46008</v>
      </c>
      <c r="B105" s="1">
        <v>309</v>
      </c>
      <c r="C105">
        <v>308</v>
      </c>
      <c r="D105" s="2">
        <f t="shared" si="24"/>
        <v>100322</v>
      </c>
      <c r="E105">
        <f t="shared" si="25"/>
        <v>100322</v>
      </c>
      <c r="F105">
        <f t="shared" si="26"/>
        <v>100.322</v>
      </c>
      <c r="G105" s="1">
        <v>106.2</v>
      </c>
      <c r="H105">
        <f t="shared" si="27"/>
        <v>106200</v>
      </c>
      <c r="I105">
        <f t="shared" si="28"/>
        <v>5.8591335898407131</v>
      </c>
      <c r="K105" t="str">
        <f t="shared" si="22"/>
        <v>中立</v>
      </c>
      <c r="L105" t="str">
        <f t="shared" si="23"/>
        <v>安心持有：價格合理，享受CB攻守兼備的特性。(到期日前還是得轉換)</v>
      </c>
    </row>
    <row r="106" spans="1:12" x14ac:dyDescent="0.4">
      <c r="A106" s="18">
        <v>46009</v>
      </c>
      <c r="B106" s="1">
        <v>309</v>
      </c>
      <c r="C106">
        <v>308</v>
      </c>
      <c r="D106" s="2">
        <f t="shared" si="24"/>
        <v>100322</v>
      </c>
      <c r="E106">
        <f t="shared" si="25"/>
        <v>100322</v>
      </c>
      <c r="F106">
        <f t="shared" si="26"/>
        <v>100.322</v>
      </c>
      <c r="G106" s="1">
        <v>106.2</v>
      </c>
      <c r="H106">
        <f t="shared" si="27"/>
        <v>106200</v>
      </c>
      <c r="I106">
        <f t="shared" si="28"/>
        <v>5.8591335898407131</v>
      </c>
      <c r="K106" t="str">
        <f t="shared" si="22"/>
        <v>中立</v>
      </c>
      <c r="L106" t="str">
        <f t="shared" si="23"/>
        <v>安心持有：價格合理，享受CB攻守兼備的特性。(到期日前還是得轉換)</v>
      </c>
    </row>
    <row r="107" spans="1:12" x14ac:dyDescent="0.4">
      <c r="A107" s="18">
        <v>46010</v>
      </c>
      <c r="B107" s="1">
        <v>309</v>
      </c>
      <c r="C107">
        <v>308</v>
      </c>
      <c r="D107" s="2">
        <f t="shared" si="24"/>
        <v>100322</v>
      </c>
      <c r="E107">
        <f t="shared" si="25"/>
        <v>100322</v>
      </c>
      <c r="F107">
        <f t="shared" si="26"/>
        <v>100.322</v>
      </c>
      <c r="G107" s="1">
        <v>106.2</v>
      </c>
      <c r="H107">
        <f t="shared" si="27"/>
        <v>106200</v>
      </c>
      <c r="I107">
        <f t="shared" si="28"/>
        <v>5.8591335898407131</v>
      </c>
      <c r="K107" t="str">
        <f t="shared" si="22"/>
        <v>中立</v>
      </c>
      <c r="L107" t="str">
        <f t="shared" si="23"/>
        <v>安心持有：價格合理，享受CB攻守兼備的特性。(到期日前還是得轉換)</v>
      </c>
    </row>
    <row r="108" spans="1:12" x14ac:dyDescent="0.4">
      <c r="A108" s="18">
        <v>46011</v>
      </c>
      <c r="B108" s="1">
        <v>309</v>
      </c>
      <c r="C108">
        <v>308</v>
      </c>
      <c r="D108" s="2">
        <f t="shared" si="24"/>
        <v>100322</v>
      </c>
      <c r="E108">
        <f t="shared" si="25"/>
        <v>100322</v>
      </c>
      <c r="F108">
        <f t="shared" si="26"/>
        <v>100.322</v>
      </c>
      <c r="G108" s="1">
        <v>106.2</v>
      </c>
      <c r="H108">
        <f t="shared" si="27"/>
        <v>106200</v>
      </c>
      <c r="I108">
        <f t="shared" si="28"/>
        <v>5.8591335898407131</v>
      </c>
      <c r="K108" t="str">
        <f t="shared" si="22"/>
        <v>中立</v>
      </c>
      <c r="L108" t="str">
        <f t="shared" si="23"/>
        <v>安心持有：價格合理，享受CB攻守兼備的特性。(到期日前還是得轉換)</v>
      </c>
    </row>
    <row r="109" spans="1:12" x14ac:dyDescent="0.4">
      <c r="A109" s="18">
        <v>46012</v>
      </c>
      <c r="B109" s="1">
        <v>309</v>
      </c>
      <c r="C109">
        <v>308</v>
      </c>
      <c r="D109" s="2">
        <f t="shared" si="24"/>
        <v>100322</v>
      </c>
      <c r="E109">
        <f t="shared" si="25"/>
        <v>100322</v>
      </c>
      <c r="F109">
        <f t="shared" si="26"/>
        <v>100.322</v>
      </c>
      <c r="G109" s="1">
        <v>106.2</v>
      </c>
      <c r="H109">
        <f t="shared" si="27"/>
        <v>106200</v>
      </c>
      <c r="I109">
        <f t="shared" si="28"/>
        <v>5.8591335898407131</v>
      </c>
      <c r="K109" t="str">
        <f t="shared" si="22"/>
        <v>中立</v>
      </c>
      <c r="L109" t="str">
        <f t="shared" si="23"/>
        <v>安心持有：價格合理，享受CB攻守兼備的特性。(到期日前還是得轉換)</v>
      </c>
    </row>
    <row r="110" spans="1:12" x14ac:dyDescent="0.4">
      <c r="A110" s="18">
        <v>46013</v>
      </c>
      <c r="B110" s="1">
        <v>309</v>
      </c>
      <c r="C110">
        <v>308</v>
      </c>
      <c r="D110" s="2">
        <f t="shared" si="24"/>
        <v>100322</v>
      </c>
      <c r="E110">
        <f t="shared" si="25"/>
        <v>100322</v>
      </c>
      <c r="F110">
        <f t="shared" si="26"/>
        <v>100.322</v>
      </c>
      <c r="G110" s="1">
        <v>106.2</v>
      </c>
      <c r="H110">
        <f t="shared" si="27"/>
        <v>106200</v>
      </c>
      <c r="I110">
        <f t="shared" si="28"/>
        <v>5.8591335898407131</v>
      </c>
      <c r="K110" t="str">
        <f t="shared" si="22"/>
        <v>中立</v>
      </c>
      <c r="L110" t="str">
        <f t="shared" si="23"/>
        <v>安心持有：價格合理，享受CB攻守兼備的特性。(到期日前還是得轉換)</v>
      </c>
    </row>
    <row r="111" spans="1:12" x14ac:dyDescent="0.4">
      <c r="A111" s="18">
        <v>46014</v>
      </c>
      <c r="B111" s="1">
        <v>309</v>
      </c>
      <c r="C111">
        <v>308</v>
      </c>
      <c r="D111" s="2">
        <f t="shared" si="24"/>
        <v>100322</v>
      </c>
      <c r="E111">
        <f t="shared" si="25"/>
        <v>100322</v>
      </c>
      <c r="F111">
        <f t="shared" si="26"/>
        <v>100.322</v>
      </c>
      <c r="G111" s="1">
        <v>106.2</v>
      </c>
      <c r="H111">
        <f t="shared" si="27"/>
        <v>106200</v>
      </c>
      <c r="I111">
        <f t="shared" si="28"/>
        <v>5.8591335898407131</v>
      </c>
      <c r="K111" t="str">
        <f t="shared" si="22"/>
        <v>中立</v>
      </c>
      <c r="L111" t="str">
        <f t="shared" si="23"/>
        <v>安心持有：價格合理，享受CB攻守兼備的特性。(到期日前還是得轉換)</v>
      </c>
    </row>
    <row r="112" spans="1:12" x14ac:dyDescent="0.4">
      <c r="A112" s="18">
        <v>46015</v>
      </c>
      <c r="B112" s="1">
        <v>309</v>
      </c>
      <c r="C112">
        <v>308</v>
      </c>
      <c r="D112" s="2">
        <f t="shared" si="24"/>
        <v>100322</v>
      </c>
      <c r="E112">
        <f t="shared" si="25"/>
        <v>100322</v>
      </c>
      <c r="F112">
        <f t="shared" si="26"/>
        <v>100.322</v>
      </c>
      <c r="G112" s="1">
        <v>106.2</v>
      </c>
      <c r="H112">
        <f t="shared" si="27"/>
        <v>106200</v>
      </c>
      <c r="I112">
        <f t="shared" si="28"/>
        <v>5.8591335898407131</v>
      </c>
      <c r="K112" t="str">
        <f t="shared" si="22"/>
        <v>中立</v>
      </c>
      <c r="L112" t="str">
        <f t="shared" si="23"/>
        <v>安心持有：價格合理，享受CB攻守兼備的特性。(到期日前還是得轉換)</v>
      </c>
    </row>
    <row r="113" spans="1:12" x14ac:dyDescent="0.4">
      <c r="A113" s="18">
        <v>46016</v>
      </c>
      <c r="B113" s="1">
        <v>309</v>
      </c>
      <c r="C113">
        <v>308</v>
      </c>
      <c r="D113" s="2">
        <f t="shared" si="24"/>
        <v>100322</v>
      </c>
      <c r="E113">
        <f t="shared" si="25"/>
        <v>100322</v>
      </c>
      <c r="F113">
        <f t="shared" si="26"/>
        <v>100.322</v>
      </c>
      <c r="G113" s="1">
        <v>106.2</v>
      </c>
      <c r="H113">
        <f t="shared" si="27"/>
        <v>106200</v>
      </c>
      <c r="I113">
        <f t="shared" si="28"/>
        <v>5.8591335898407131</v>
      </c>
      <c r="K113" t="str">
        <f t="shared" si="22"/>
        <v>中立</v>
      </c>
      <c r="L113" t="str">
        <f t="shared" si="23"/>
        <v>安心持有：價格合理，享受CB攻守兼備的特性。(到期日前還是得轉換)</v>
      </c>
    </row>
    <row r="114" spans="1:12" x14ac:dyDescent="0.4">
      <c r="A114" s="18">
        <v>46017</v>
      </c>
      <c r="B114" s="1">
        <v>309</v>
      </c>
      <c r="C114">
        <v>308</v>
      </c>
      <c r="D114" s="2">
        <f t="shared" si="24"/>
        <v>100322</v>
      </c>
      <c r="E114">
        <f t="shared" si="25"/>
        <v>100322</v>
      </c>
      <c r="F114">
        <f t="shared" si="26"/>
        <v>100.322</v>
      </c>
      <c r="G114" s="1">
        <v>106.2</v>
      </c>
      <c r="H114">
        <f t="shared" si="27"/>
        <v>106200</v>
      </c>
      <c r="I114">
        <f t="shared" si="28"/>
        <v>5.8591335898407131</v>
      </c>
      <c r="K114" t="str">
        <f t="shared" si="22"/>
        <v>中立</v>
      </c>
      <c r="L114" t="str">
        <f t="shared" si="23"/>
        <v>安心持有：價格合理，享受CB攻守兼備的特性。(到期日前還是得轉換)</v>
      </c>
    </row>
    <row r="115" spans="1:12" x14ac:dyDescent="0.4">
      <c r="A115" s="18">
        <v>46018</v>
      </c>
      <c r="B115" s="1">
        <v>309</v>
      </c>
      <c r="C115">
        <v>308</v>
      </c>
      <c r="D115" s="2">
        <f t="shared" si="24"/>
        <v>100322</v>
      </c>
      <c r="E115">
        <f t="shared" si="25"/>
        <v>100322</v>
      </c>
      <c r="F115">
        <f t="shared" si="26"/>
        <v>100.322</v>
      </c>
      <c r="G115" s="1">
        <v>106.2</v>
      </c>
      <c r="H115">
        <f t="shared" si="27"/>
        <v>106200</v>
      </c>
      <c r="I115">
        <f t="shared" si="28"/>
        <v>5.8591335898407131</v>
      </c>
      <c r="K115" t="str">
        <f t="shared" si="22"/>
        <v>中立</v>
      </c>
      <c r="L115" t="str">
        <f t="shared" si="23"/>
        <v>安心持有：價格合理，享受CB攻守兼備的特性。(到期日前還是得轉換)</v>
      </c>
    </row>
    <row r="116" spans="1:12" x14ac:dyDescent="0.4">
      <c r="A116" s="18">
        <v>46019</v>
      </c>
      <c r="B116" s="1">
        <v>309</v>
      </c>
      <c r="C116">
        <v>308</v>
      </c>
      <c r="D116" s="2">
        <f t="shared" si="24"/>
        <v>100322</v>
      </c>
      <c r="E116">
        <f t="shared" si="25"/>
        <v>100322</v>
      </c>
      <c r="F116">
        <f t="shared" si="26"/>
        <v>100.322</v>
      </c>
      <c r="G116" s="1">
        <v>106.2</v>
      </c>
      <c r="H116">
        <f t="shared" si="27"/>
        <v>106200</v>
      </c>
      <c r="I116">
        <f t="shared" si="28"/>
        <v>5.8591335898407131</v>
      </c>
      <c r="K116" t="str">
        <f t="shared" si="22"/>
        <v>中立</v>
      </c>
      <c r="L116" t="str">
        <f t="shared" si="23"/>
        <v>安心持有：價格合理，享受CB攻守兼備的特性。(到期日前還是得轉換)</v>
      </c>
    </row>
    <row r="117" spans="1:12" x14ac:dyDescent="0.4">
      <c r="A117" s="18">
        <v>46020</v>
      </c>
      <c r="B117" s="1">
        <v>309</v>
      </c>
      <c r="C117">
        <v>308</v>
      </c>
      <c r="D117" s="2">
        <f t="shared" si="24"/>
        <v>100322</v>
      </c>
      <c r="E117">
        <f t="shared" si="25"/>
        <v>100322</v>
      </c>
      <c r="F117">
        <f t="shared" si="26"/>
        <v>100.322</v>
      </c>
      <c r="G117" s="1">
        <v>106.2</v>
      </c>
      <c r="H117">
        <f t="shared" si="27"/>
        <v>106200</v>
      </c>
      <c r="I117">
        <f t="shared" si="28"/>
        <v>5.8591335898407131</v>
      </c>
      <c r="K117" t="str">
        <f t="shared" si="22"/>
        <v>中立</v>
      </c>
      <c r="L117" t="str">
        <f t="shared" si="23"/>
        <v>安心持有：價格合理，享受CB攻守兼備的特性。(到期日前還是得轉換)</v>
      </c>
    </row>
    <row r="118" spans="1:12" x14ac:dyDescent="0.4">
      <c r="A118" s="18">
        <v>46021</v>
      </c>
      <c r="B118" s="1">
        <v>309</v>
      </c>
      <c r="C118">
        <v>308</v>
      </c>
      <c r="D118" s="2">
        <f t="shared" si="24"/>
        <v>100322</v>
      </c>
      <c r="E118">
        <f t="shared" si="25"/>
        <v>100322</v>
      </c>
      <c r="F118">
        <f t="shared" si="26"/>
        <v>100.322</v>
      </c>
      <c r="G118" s="1">
        <v>106.2</v>
      </c>
      <c r="H118">
        <f t="shared" si="27"/>
        <v>106200</v>
      </c>
      <c r="I118">
        <f t="shared" si="28"/>
        <v>5.8591335898407131</v>
      </c>
      <c r="K118" t="str">
        <f t="shared" si="22"/>
        <v>中立</v>
      </c>
      <c r="L118" t="str">
        <f t="shared" si="23"/>
        <v>安心持有：價格合理，享受CB攻守兼備的特性。(到期日前還是得轉換)</v>
      </c>
    </row>
    <row r="119" spans="1:12" x14ac:dyDescent="0.4">
      <c r="A119" s="18">
        <v>46022</v>
      </c>
      <c r="B119" s="1">
        <v>309</v>
      </c>
      <c r="C119">
        <v>308</v>
      </c>
      <c r="D119" s="2">
        <f t="shared" si="24"/>
        <v>100322</v>
      </c>
      <c r="E119">
        <f t="shared" si="25"/>
        <v>100322</v>
      </c>
      <c r="F119">
        <f t="shared" si="26"/>
        <v>100.322</v>
      </c>
      <c r="G119" s="1">
        <v>106.2</v>
      </c>
      <c r="H119">
        <f t="shared" si="27"/>
        <v>106200</v>
      </c>
      <c r="I119">
        <f t="shared" si="28"/>
        <v>5.8591335898407131</v>
      </c>
      <c r="K119" t="str">
        <f t="shared" si="22"/>
        <v>中立</v>
      </c>
      <c r="L119" t="str">
        <f t="shared" si="23"/>
        <v>安心持有：價格合理，享受CB攻守兼備的特性。(到期日前還是得轉換)</v>
      </c>
    </row>
    <row r="120" spans="1:12" x14ac:dyDescent="0.4">
      <c r="A120" s="18">
        <v>46023</v>
      </c>
      <c r="B120" s="1">
        <v>309</v>
      </c>
      <c r="C120">
        <v>308</v>
      </c>
      <c r="D120" s="2">
        <f t="shared" si="24"/>
        <v>100322</v>
      </c>
      <c r="E120">
        <f t="shared" si="25"/>
        <v>100322</v>
      </c>
      <c r="F120">
        <f t="shared" si="26"/>
        <v>100.322</v>
      </c>
      <c r="G120" s="1">
        <v>106.2</v>
      </c>
      <c r="H120">
        <f t="shared" si="27"/>
        <v>106200</v>
      </c>
      <c r="I120">
        <f t="shared" si="28"/>
        <v>5.8591335898407131</v>
      </c>
      <c r="K120" t="str">
        <f t="shared" si="22"/>
        <v>中立</v>
      </c>
      <c r="L120" t="str">
        <f t="shared" si="23"/>
        <v>安心持有：價格合理，享受CB攻守兼備的特性。(到期日前還是得轉換)</v>
      </c>
    </row>
    <row r="121" spans="1:12" x14ac:dyDescent="0.4">
      <c r="A121" s="18">
        <v>46024</v>
      </c>
      <c r="B121" s="1">
        <v>309</v>
      </c>
      <c r="C121">
        <v>308</v>
      </c>
      <c r="D121" s="2">
        <f t="shared" si="24"/>
        <v>100322</v>
      </c>
      <c r="E121">
        <f t="shared" si="25"/>
        <v>100322</v>
      </c>
      <c r="F121">
        <f t="shared" si="26"/>
        <v>100.322</v>
      </c>
      <c r="G121" s="1">
        <v>106.2</v>
      </c>
      <c r="H121">
        <f t="shared" si="27"/>
        <v>106200</v>
      </c>
      <c r="I121">
        <f t="shared" si="28"/>
        <v>5.8591335898407131</v>
      </c>
      <c r="K121" t="str">
        <f t="shared" si="22"/>
        <v>中立</v>
      </c>
      <c r="L121" t="str">
        <f t="shared" si="23"/>
        <v>安心持有：價格合理，享受CB攻守兼備的特性。(到期日前還是得轉換)</v>
      </c>
    </row>
    <row r="122" spans="1:12" x14ac:dyDescent="0.4">
      <c r="A122" s="18">
        <v>46025</v>
      </c>
      <c r="B122" s="1">
        <v>309</v>
      </c>
      <c r="C122">
        <v>308</v>
      </c>
      <c r="D122" s="2">
        <f t="shared" si="24"/>
        <v>100322</v>
      </c>
      <c r="E122">
        <f t="shared" si="25"/>
        <v>100322</v>
      </c>
      <c r="F122">
        <f t="shared" si="26"/>
        <v>100.322</v>
      </c>
      <c r="G122" s="1">
        <v>106.2</v>
      </c>
      <c r="H122">
        <f t="shared" si="27"/>
        <v>106200</v>
      </c>
      <c r="I122">
        <f t="shared" si="28"/>
        <v>5.8591335898407131</v>
      </c>
      <c r="K122" t="str">
        <f t="shared" si="22"/>
        <v>中立</v>
      </c>
      <c r="L122" t="str">
        <f t="shared" si="23"/>
        <v>安心持有：價格合理，享受CB攻守兼備的特性。(到期日前還是得轉換)</v>
      </c>
    </row>
    <row r="123" spans="1:12" x14ac:dyDescent="0.4">
      <c r="A123" s="18">
        <v>46026</v>
      </c>
      <c r="B123" s="1">
        <v>309</v>
      </c>
      <c r="C123">
        <v>308</v>
      </c>
      <c r="D123" s="2">
        <f>B123*324+206</f>
        <v>100322</v>
      </c>
      <c r="E123">
        <f>MAX(D123, 100000)</f>
        <v>100322</v>
      </c>
      <c r="F123">
        <f>E123/1000</f>
        <v>100.322</v>
      </c>
      <c r="G123" s="1">
        <v>106.2</v>
      </c>
      <c r="H123">
        <f>G123*1000</f>
        <v>106200</v>
      </c>
      <c r="I123">
        <f>(H123-D123)/D123 *100</f>
        <v>5.8591335898407131</v>
      </c>
      <c r="K123" t="str">
        <f t="shared" si="22"/>
        <v>中立</v>
      </c>
      <c r="L123" t="str">
        <f t="shared" si="23"/>
        <v>安心持有：價格合理，享受CB攻守兼備的特性。(到期日前還是得轉換)</v>
      </c>
    </row>
    <row r="124" spans="1:12" x14ac:dyDescent="0.4">
      <c r="A124" s="18">
        <v>46027</v>
      </c>
      <c r="B124" s="1">
        <v>309</v>
      </c>
      <c r="C124">
        <v>308</v>
      </c>
      <c r="D124" s="2">
        <f>B124*324+206</f>
        <v>100322</v>
      </c>
      <c r="E124">
        <f>MAX(D124, 100000)</f>
        <v>100322</v>
      </c>
      <c r="F124">
        <f>E124/1000</f>
        <v>100.322</v>
      </c>
      <c r="G124" s="1">
        <v>106.2</v>
      </c>
      <c r="H124">
        <f>G124*1000</f>
        <v>106200</v>
      </c>
      <c r="I124">
        <f>(H124-D124)/D124 *100</f>
        <v>5.8591335898407131</v>
      </c>
      <c r="K124" t="str">
        <f t="shared" si="22"/>
        <v>中立</v>
      </c>
      <c r="L124" t="str">
        <f t="shared" si="23"/>
        <v>安心持有：價格合理，享受CB攻守兼備的特性。(到期日前還是得轉換)</v>
      </c>
    </row>
    <row r="125" spans="1:12" x14ac:dyDescent="0.4">
      <c r="A125" s="18">
        <v>46028</v>
      </c>
      <c r="B125" s="1">
        <v>309</v>
      </c>
      <c r="C125">
        <v>308</v>
      </c>
      <c r="D125" s="2">
        <f t="shared" ref="D125:D146" si="29">B125*324+206</f>
        <v>100322</v>
      </c>
      <c r="E125">
        <f t="shared" ref="E125:E146" si="30">MAX(D125, 100000)</f>
        <v>100322</v>
      </c>
      <c r="F125">
        <f t="shared" ref="F125:F146" si="31">E125/1000</f>
        <v>100.322</v>
      </c>
      <c r="G125" s="1">
        <v>106.2</v>
      </c>
      <c r="H125">
        <f t="shared" ref="H125:H146" si="32">G125*1000</f>
        <v>106200</v>
      </c>
      <c r="I125">
        <f t="shared" ref="I125:I146" si="33">(H125-D125)/D125 *100</f>
        <v>5.8591335898407131</v>
      </c>
      <c r="K125" t="str">
        <f t="shared" si="22"/>
        <v>中立</v>
      </c>
      <c r="L125" t="str">
        <f t="shared" si="23"/>
        <v>安心持有：價格合理，享受CB攻守兼備的特性。(到期日前還是得轉換)</v>
      </c>
    </row>
    <row r="126" spans="1:12" x14ac:dyDescent="0.4">
      <c r="A126" s="18">
        <v>46029</v>
      </c>
      <c r="B126" s="1">
        <v>309</v>
      </c>
      <c r="C126">
        <v>308</v>
      </c>
      <c r="D126" s="2">
        <f t="shared" si="29"/>
        <v>100322</v>
      </c>
      <c r="E126">
        <f t="shared" si="30"/>
        <v>100322</v>
      </c>
      <c r="F126">
        <f t="shared" si="31"/>
        <v>100.322</v>
      </c>
      <c r="G126" s="1">
        <v>106.2</v>
      </c>
      <c r="H126">
        <f t="shared" si="32"/>
        <v>106200</v>
      </c>
      <c r="I126">
        <f t="shared" si="33"/>
        <v>5.8591335898407131</v>
      </c>
      <c r="K126" t="str">
        <f t="shared" si="22"/>
        <v>中立</v>
      </c>
      <c r="L126" t="str">
        <f t="shared" si="23"/>
        <v>安心持有：價格合理，享受CB攻守兼備的特性。(到期日前還是得轉換)</v>
      </c>
    </row>
    <row r="127" spans="1:12" x14ac:dyDescent="0.4">
      <c r="A127" s="18">
        <v>46030</v>
      </c>
      <c r="B127" s="1">
        <v>309</v>
      </c>
      <c r="C127">
        <v>308</v>
      </c>
      <c r="D127" s="2">
        <f t="shared" si="29"/>
        <v>100322</v>
      </c>
      <c r="E127">
        <f t="shared" si="30"/>
        <v>100322</v>
      </c>
      <c r="F127">
        <f t="shared" si="31"/>
        <v>100.322</v>
      </c>
      <c r="G127" s="1">
        <v>106.2</v>
      </c>
      <c r="H127">
        <f t="shared" si="32"/>
        <v>106200</v>
      </c>
      <c r="I127">
        <f t="shared" si="33"/>
        <v>5.8591335898407131</v>
      </c>
      <c r="K127" t="str">
        <f t="shared" si="22"/>
        <v>中立</v>
      </c>
      <c r="L127" t="str">
        <f t="shared" si="23"/>
        <v>安心持有：價格合理，享受CB攻守兼備的特性。(到期日前還是得轉換)</v>
      </c>
    </row>
    <row r="128" spans="1:12" x14ac:dyDescent="0.4">
      <c r="A128" s="18">
        <v>46031</v>
      </c>
      <c r="B128" s="1">
        <v>309</v>
      </c>
      <c r="C128">
        <v>308</v>
      </c>
      <c r="D128" s="2">
        <f t="shared" si="29"/>
        <v>100322</v>
      </c>
      <c r="E128">
        <f t="shared" si="30"/>
        <v>100322</v>
      </c>
      <c r="F128">
        <f t="shared" si="31"/>
        <v>100.322</v>
      </c>
      <c r="G128" s="1">
        <v>106.2</v>
      </c>
      <c r="H128">
        <f t="shared" si="32"/>
        <v>106200</v>
      </c>
      <c r="I128">
        <f t="shared" si="33"/>
        <v>5.8591335898407131</v>
      </c>
      <c r="K128" t="str">
        <f t="shared" si="22"/>
        <v>中立</v>
      </c>
      <c r="L128" t="str">
        <f t="shared" si="23"/>
        <v>安心持有：價格合理，享受CB攻守兼備的特性。(到期日前還是得轉換)</v>
      </c>
    </row>
    <row r="129" spans="1:12" x14ac:dyDescent="0.4">
      <c r="A129" s="18">
        <v>46032</v>
      </c>
      <c r="B129" s="1">
        <v>309</v>
      </c>
      <c r="C129">
        <v>308</v>
      </c>
      <c r="D129" s="2">
        <f t="shared" si="29"/>
        <v>100322</v>
      </c>
      <c r="E129">
        <f t="shared" si="30"/>
        <v>100322</v>
      </c>
      <c r="F129">
        <f t="shared" si="31"/>
        <v>100.322</v>
      </c>
      <c r="G129" s="1">
        <v>106.2</v>
      </c>
      <c r="H129">
        <f t="shared" si="32"/>
        <v>106200</v>
      </c>
      <c r="I129">
        <f t="shared" si="33"/>
        <v>5.8591335898407131</v>
      </c>
      <c r="K129" t="str">
        <f t="shared" si="22"/>
        <v>中立</v>
      </c>
      <c r="L129" t="str">
        <f t="shared" si="23"/>
        <v>安心持有：價格合理，享受CB攻守兼備的特性。(到期日前還是得轉換)</v>
      </c>
    </row>
    <row r="130" spans="1:12" x14ac:dyDescent="0.4">
      <c r="A130" s="18">
        <v>46033</v>
      </c>
      <c r="B130" s="1">
        <v>309</v>
      </c>
      <c r="C130">
        <v>308</v>
      </c>
      <c r="D130" s="2">
        <f t="shared" si="29"/>
        <v>100322</v>
      </c>
      <c r="E130">
        <f t="shared" si="30"/>
        <v>100322</v>
      </c>
      <c r="F130">
        <f t="shared" si="31"/>
        <v>100.322</v>
      </c>
      <c r="G130" s="1">
        <v>106.2</v>
      </c>
      <c r="H130">
        <f t="shared" si="32"/>
        <v>106200</v>
      </c>
      <c r="I130">
        <f t="shared" si="33"/>
        <v>5.8591335898407131</v>
      </c>
      <c r="K130" t="str">
        <f t="shared" si="22"/>
        <v>中立</v>
      </c>
      <c r="L130" t="str">
        <f t="shared" si="23"/>
        <v>安心持有：價格合理，享受CB攻守兼備的特性。(到期日前還是得轉換)</v>
      </c>
    </row>
    <row r="131" spans="1:12" x14ac:dyDescent="0.4">
      <c r="A131" s="18">
        <v>46034</v>
      </c>
      <c r="B131" s="1">
        <v>309</v>
      </c>
      <c r="C131">
        <v>308</v>
      </c>
      <c r="D131" s="2">
        <f t="shared" si="29"/>
        <v>100322</v>
      </c>
      <c r="E131">
        <f t="shared" si="30"/>
        <v>100322</v>
      </c>
      <c r="F131">
        <f t="shared" si="31"/>
        <v>100.322</v>
      </c>
      <c r="G131" s="1">
        <v>106.2</v>
      </c>
      <c r="H131">
        <f t="shared" si="32"/>
        <v>106200</v>
      </c>
      <c r="I131">
        <f t="shared" si="33"/>
        <v>5.8591335898407131</v>
      </c>
      <c r="K131" t="str">
        <f t="shared" si="22"/>
        <v>中立</v>
      </c>
      <c r="L131" t="str">
        <f t="shared" si="23"/>
        <v>安心持有：價格合理，享受CB攻守兼備的特性。(到期日前還是得轉換)</v>
      </c>
    </row>
    <row r="132" spans="1:12" x14ac:dyDescent="0.4">
      <c r="A132" s="18">
        <v>46035</v>
      </c>
      <c r="B132" s="1">
        <v>309</v>
      </c>
      <c r="C132">
        <v>308</v>
      </c>
      <c r="D132" s="2">
        <f t="shared" si="29"/>
        <v>100322</v>
      </c>
      <c r="E132">
        <f t="shared" si="30"/>
        <v>100322</v>
      </c>
      <c r="F132">
        <f t="shared" si="31"/>
        <v>100.322</v>
      </c>
      <c r="G132" s="1">
        <v>106.2</v>
      </c>
      <c r="H132">
        <f t="shared" si="32"/>
        <v>106200</v>
      </c>
      <c r="I132">
        <f t="shared" si="33"/>
        <v>5.8591335898407131</v>
      </c>
      <c r="K132" t="str">
        <f t="shared" si="22"/>
        <v>中立</v>
      </c>
      <c r="L132" t="str">
        <f t="shared" si="23"/>
        <v>安心持有：價格合理，享受CB攻守兼備的特性。(到期日前還是得轉換)</v>
      </c>
    </row>
    <row r="133" spans="1:12" x14ac:dyDescent="0.4">
      <c r="A133" s="18">
        <v>46036</v>
      </c>
      <c r="B133" s="1">
        <v>309</v>
      </c>
      <c r="C133">
        <v>308</v>
      </c>
      <c r="D133" s="2">
        <f t="shared" si="29"/>
        <v>100322</v>
      </c>
      <c r="E133">
        <f t="shared" si="30"/>
        <v>100322</v>
      </c>
      <c r="F133">
        <f t="shared" si="31"/>
        <v>100.322</v>
      </c>
      <c r="G133" s="1">
        <v>106.2</v>
      </c>
      <c r="H133">
        <f t="shared" si="32"/>
        <v>106200</v>
      </c>
      <c r="I133">
        <f t="shared" si="33"/>
        <v>5.8591335898407131</v>
      </c>
      <c r="K133" t="str">
        <f t="shared" si="22"/>
        <v>中立</v>
      </c>
      <c r="L133" t="str">
        <f t="shared" si="23"/>
        <v>安心持有：價格合理，享受CB攻守兼備的特性。(到期日前還是得轉換)</v>
      </c>
    </row>
    <row r="134" spans="1:12" x14ac:dyDescent="0.4">
      <c r="A134" s="18">
        <v>46037</v>
      </c>
      <c r="B134" s="1">
        <v>309</v>
      </c>
      <c r="C134">
        <v>308</v>
      </c>
      <c r="D134" s="2">
        <f t="shared" si="29"/>
        <v>100322</v>
      </c>
      <c r="E134">
        <f t="shared" si="30"/>
        <v>100322</v>
      </c>
      <c r="F134">
        <f t="shared" si="31"/>
        <v>100.322</v>
      </c>
      <c r="G134" s="1">
        <v>106.2</v>
      </c>
      <c r="H134">
        <f t="shared" si="32"/>
        <v>106200</v>
      </c>
      <c r="I134">
        <f t="shared" si="33"/>
        <v>5.8591335898407131</v>
      </c>
      <c r="K134" t="str">
        <f t="shared" ref="K134:K146" si="34">IF(I134 &lt; -1, "馬上買入CB,賣出現股",
 IF(I134 &lt; 3.5,  "考慮買入CB,賣出現股",
 IF(I134 &lt; 7,  "中立",
 IF(I134 &lt; 15, "考慮賣出CB,買入現股",
 IF(I134 &lt; 30, "賣出CB,買入現股",
             "馬上賣出CB,買入現股")))))</f>
        <v>中立</v>
      </c>
      <c r="L134" t="str">
        <f t="shared" ref="L134:L146" si="35">IF(I134 &lt; -1, "套利警報：訊號出現！立即精算所有交易成本，確認利潤空間。(或有轉換價值)",
 IF(I134 &lt; 3.5,  "最佳買點：此時買入CB的性價比最高，是建立多頭部位的首選。(到期日前還是得轉換)",
 IF(I134 &lt; 7,  "安心持有：價格合理，享受CB攻守兼備的特性。(到期日前還是得轉換)",
 IF(I134 &lt; 15, "評估信心 (1)：保險費開始變貴，開始問自己：我是否該為了更高報酬而放棄保險？(到期日前還是得轉換)",
 IF(I134 &lt; 30, "評估信心 (2)：保險費很貴！若非極度看好後市，否則持有現股的機會成本很高。以最大化潛在獲利。(到期日前還是得轉換)",
             "強烈行動訊號：保險費極貴！將「帳面獲利」轉化為「實際報酬潛力」，避免因高溢價而壓縮未來上漲空間。(到期日前還是得轉換)")))))</f>
        <v>安心持有：價格合理，享受CB攻守兼備的特性。(到期日前還是得轉換)</v>
      </c>
    </row>
    <row r="135" spans="1:12" x14ac:dyDescent="0.4">
      <c r="A135" s="18">
        <v>46038</v>
      </c>
      <c r="B135" s="1">
        <v>309</v>
      </c>
      <c r="C135">
        <v>308</v>
      </c>
      <c r="D135" s="2">
        <f t="shared" si="29"/>
        <v>100322</v>
      </c>
      <c r="E135">
        <f t="shared" si="30"/>
        <v>100322</v>
      </c>
      <c r="F135">
        <f t="shared" si="31"/>
        <v>100.322</v>
      </c>
      <c r="G135" s="1">
        <v>106.2</v>
      </c>
      <c r="H135">
        <f t="shared" si="32"/>
        <v>106200</v>
      </c>
      <c r="I135">
        <f t="shared" si="33"/>
        <v>5.8591335898407131</v>
      </c>
      <c r="K135" t="str">
        <f t="shared" si="34"/>
        <v>中立</v>
      </c>
      <c r="L135" t="str">
        <f t="shared" si="35"/>
        <v>安心持有：價格合理，享受CB攻守兼備的特性。(到期日前還是得轉換)</v>
      </c>
    </row>
    <row r="136" spans="1:12" x14ac:dyDescent="0.4">
      <c r="A136" s="18">
        <v>46039</v>
      </c>
      <c r="B136" s="1">
        <v>309</v>
      </c>
      <c r="C136">
        <v>308</v>
      </c>
      <c r="D136" s="2">
        <f t="shared" si="29"/>
        <v>100322</v>
      </c>
      <c r="E136">
        <f t="shared" si="30"/>
        <v>100322</v>
      </c>
      <c r="F136">
        <f t="shared" si="31"/>
        <v>100.322</v>
      </c>
      <c r="G136" s="1">
        <v>106.2</v>
      </c>
      <c r="H136">
        <f t="shared" si="32"/>
        <v>106200</v>
      </c>
      <c r="I136">
        <f t="shared" si="33"/>
        <v>5.8591335898407131</v>
      </c>
      <c r="K136" t="str">
        <f t="shared" si="34"/>
        <v>中立</v>
      </c>
      <c r="L136" t="str">
        <f t="shared" si="35"/>
        <v>安心持有：價格合理，享受CB攻守兼備的特性。(到期日前還是得轉換)</v>
      </c>
    </row>
    <row r="137" spans="1:12" x14ac:dyDescent="0.4">
      <c r="A137" s="18">
        <v>46040</v>
      </c>
      <c r="B137" s="1">
        <v>309</v>
      </c>
      <c r="C137">
        <v>308</v>
      </c>
      <c r="D137" s="2">
        <f t="shared" si="29"/>
        <v>100322</v>
      </c>
      <c r="E137">
        <f t="shared" si="30"/>
        <v>100322</v>
      </c>
      <c r="F137">
        <f t="shared" si="31"/>
        <v>100.322</v>
      </c>
      <c r="G137" s="1">
        <v>106.2</v>
      </c>
      <c r="H137">
        <f t="shared" si="32"/>
        <v>106200</v>
      </c>
      <c r="I137">
        <f t="shared" si="33"/>
        <v>5.8591335898407131</v>
      </c>
      <c r="K137" t="str">
        <f t="shared" si="34"/>
        <v>中立</v>
      </c>
      <c r="L137" t="str">
        <f t="shared" si="35"/>
        <v>安心持有：價格合理，享受CB攻守兼備的特性。(到期日前還是得轉換)</v>
      </c>
    </row>
    <row r="138" spans="1:12" x14ac:dyDescent="0.4">
      <c r="A138" s="18">
        <v>46041</v>
      </c>
      <c r="B138" s="1">
        <v>309</v>
      </c>
      <c r="C138">
        <v>308</v>
      </c>
      <c r="D138" s="2">
        <f t="shared" si="29"/>
        <v>100322</v>
      </c>
      <c r="E138">
        <f t="shared" si="30"/>
        <v>100322</v>
      </c>
      <c r="F138">
        <f t="shared" si="31"/>
        <v>100.322</v>
      </c>
      <c r="G138" s="1">
        <v>106.2</v>
      </c>
      <c r="H138">
        <f t="shared" si="32"/>
        <v>106200</v>
      </c>
      <c r="I138">
        <f t="shared" si="33"/>
        <v>5.8591335898407131</v>
      </c>
      <c r="K138" t="str">
        <f t="shared" si="34"/>
        <v>中立</v>
      </c>
      <c r="L138" t="str">
        <f t="shared" si="35"/>
        <v>安心持有：價格合理，享受CB攻守兼備的特性。(到期日前還是得轉換)</v>
      </c>
    </row>
    <row r="139" spans="1:12" x14ac:dyDescent="0.4">
      <c r="A139" s="18">
        <v>46042</v>
      </c>
      <c r="B139" s="1">
        <v>309</v>
      </c>
      <c r="C139">
        <v>308</v>
      </c>
      <c r="D139" s="2">
        <f t="shared" si="29"/>
        <v>100322</v>
      </c>
      <c r="E139">
        <f t="shared" si="30"/>
        <v>100322</v>
      </c>
      <c r="F139">
        <f t="shared" si="31"/>
        <v>100.322</v>
      </c>
      <c r="G139" s="1">
        <v>106.2</v>
      </c>
      <c r="H139">
        <f t="shared" si="32"/>
        <v>106200</v>
      </c>
      <c r="I139">
        <f t="shared" si="33"/>
        <v>5.8591335898407131</v>
      </c>
      <c r="K139" t="str">
        <f t="shared" si="34"/>
        <v>中立</v>
      </c>
      <c r="L139" t="str">
        <f t="shared" si="35"/>
        <v>安心持有：價格合理，享受CB攻守兼備的特性。(到期日前還是得轉換)</v>
      </c>
    </row>
    <row r="140" spans="1:12" x14ac:dyDescent="0.4">
      <c r="A140" s="18">
        <v>46043</v>
      </c>
      <c r="B140" s="1">
        <v>309</v>
      </c>
      <c r="C140">
        <v>308</v>
      </c>
      <c r="D140" s="2">
        <f t="shared" si="29"/>
        <v>100322</v>
      </c>
      <c r="E140">
        <f t="shared" si="30"/>
        <v>100322</v>
      </c>
      <c r="F140">
        <f t="shared" si="31"/>
        <v>100.322</v>
      </c>
      <c r="G140" s="1">
        <v>106.2</v>
      </c>
      <c r="H140">
        <f t="shared" si="32"/>
        <v>106200</v>
      </c>
      <c r="I140">
        <f t="shared" si="33"/>
        <v>5.8591335898407131</v>
      </c>
      <c r="K140" t="str">
        <f t="shared" si="34"/>
        <v>中立</v>
      </c>
      <c r="L140" t="str">
        <f t="shared" si="35"/>
        <v>安心持有：價格合理，享受CB攻守兼備的特性。(到期日前還是得轉換)</v>
      </c>
    </row>
    <row r="141" spans="1:12" x14ac:dyDescent="0.4">
      <c r="A141" s="18">
        <v>46044</v>
      </c>
      <c r="B141" s="1">
        <v>309</v>
      </c>
      <c r="C141">
        <v>308</v>
      </c>
      <c r="D141" s="2">
        <f t="shared" si="29"/>
        <v>100322</v>
      </c>
      <c r="E141">
        <f t="shared" si="30"/>
        <v>100322</v>
      </c>
      <c r="F141">
        <f t="shared" si="31"/>
        <v>100.322</v>
      </c>
      <c r="G141" s="1">
        <v>106.2</v>
      </c>
      <c r="H141">
        <f t="shared" si="32"/>
        <v>106200</v>
      </c>
      <c r="I141">
        <f t="shared" si="33"/>
        <v>5.8591335898407131</v>
      </c>
      <c r="K141" t="str">
        <f t="shared" si="34"/>
        <v>中立</v>
      </c>
      <c r="L141" t="str">
        <f t="shared" si="35"/>
        <v>安心持有：價格合理，享受CB攻守兼備的特性。(到期日前還是得轉換)</v>
      </c>
    </row>
    <row r="142" spans="1:12" x14ac:dyDescent="0.4">
      <c r="A142" s="18">
        <v>46045</v>
      </c>
      <c r="B142" s="1">
        <v>309</v>
      </c>
      <c r="C142">
        <v>308</v>
      </c>
      <c r="D142" s="2">
        <f t="shared" si="29"/>
        <v>100322</v>
      </c>
      <c r="E142">
        <f t="shared" si="30"/>
        <v>100322</v>
      </c>
      <c r="F142">
        <f t="shared" si="31"/>
        <v>100.322</v>
      </c>
      <c r="G142" s="1">
        <v>106.2</v>
      </c>
      <c r="H142">
        <f t="shared" si="32"/>
        <v>106200</v>
      </c>
      <c r="I142">
        <f t="shared" si="33"/>
        <v>5.8591335898407131</v>
      </c>
      <c r="K142" t="str">
        <f t="shared" si="34"/>
        <v>中立</v>
      </c>
      <c r="L142" t="str">
        <f t="shared" si="35"/>
        <v>安心持有：價格合理，享受CB攻守兼備的特性。(到期日前還是得轉換)</v>
      </c>
    </row>
    <row r="143" spans="1:12" x14ac:dyDescent="0.4">
      <c r="A143" s="18">
        <v>46046</v>
      </c>
      <c r="B143" s="1">
        <v>309</v>
      </c>
      <c r="C143">
        <v>308</v>
      </c>
      <c r="D143" s="2">
        <f t="shared" si="29"/>
        <v>100322</v>
      </c>
      <c r="E143">
        <f t="shared" si="30"/>
        <v>100322</v>
      </c>
      <c r="F143">
        <f t="shared" si="31"/>
        <v>100.322</v>
      </c>
      <c r="G143" s="1">
        <v>106.2</v>
      </c>
      <c r="H143">
        <f t="shared" si="32"/>
        <v>106200</v>
      </c>
      <c r="I143">
        <f t="shared" si="33"/>
        <v>5.8591335898407131</v>
      </c>
      <c r="K143" t="str">
        <f t="shared" si="34"/>
        <v>中立</v>
      </c>
      <c r="L143" t="str">
        <f t="shared" si="35"/>
        <v>安心持有：價格合理，享受CB攻守兼備的特性。(到期日前還是得轉換)</v>
      </c>
    </row>
    <row r="144" spans="1:12" x14ac:dyDescent="0.4">
      <c r="A144" s="18">
        <v>46047</v>
      </c>
      <c r="B144" s="1">
        <v>309</v>
      </c>
      <c r="C144">
        <v>308</v>
      </c>
      <c r="D144" s="2">
        <f t="shared" si="29"/>
        <v>100322</v>
      </c>
      <c r="E144">
        <f t="shared" si="30"/>
        <v>100322</v>
      </c>
      <c r="F144">
        <f t="shared" si="31"/>
        <v>100.322</v>
      </c>
      <c r="G144" s="1">
        <v>106.2</v>
      </c>
      <c r="H144">
        <f t="shared" si="32"/>
        <v>106200</v>
      </c>
      <c r="I144">
        <f t="shared" si="33"/>
        <v>5.8591335898407131</v>
      </c>
      <c r="K144" t="str">
        <f t="shared" si="34"/>
        <v>中立</v>
      </c>
      <c r="L144" t="str">
        <f t="shared" si="35"/>
        <v>安心持有：價格合理，享受CB攻守兼備的特性。(到期日前還是得轉換)</v>
      </c>
    </row>
    <row r="145" spans="1:12" x14ac:dyDescent="0.4">
      <c r="A145" s="18">
        <v>46048</v>
      </c>
      <c r="B145" s="1">
        <v>309</v>
      </c>
      <c r="C145">
        <v>308</v>
      </c>
      <c r="D145" s="2">
        <f t="shared" si="29"/>
        <v>100322</v>
      </c>
      <c r="E145">
        <f t="shared" si="30"/>
        <v>100322</v>
      </c>
      <c r="F145">
        <f t="shared" si="31"/>
        <v>100.322</v>
      </c>
      <c r="G145" s="1">
        <v>106.2</v>
      </c>
      <c r="H145">
        <f t="shared" si="32"/>
        <v>106200</v>
      </c>
      <c r="I145">
        <f t="shared" si="33"/>
        <v>5.8591335898407131</v>
      </c>
      <c r="K145" t="str">
        <f t="shared" si="34"/>
        <v>中立</v>
      </c>
      <c r="L145" t="str">
        <f t="shared" si="35"/>
        <v>安心持有：價格合理，享受CB攻守兼備的特性。(到期日前還是得轉換)</v>
      </c>
    </row>
    <row r="146" spans="1:12" x14ac:dyDescent="0.4">
      <c r="A146" s="18">
        <v>46049</v>
      </c>
      <c r="B146" s="1">
        <v>309</v>
      </c>
      <c r="C146">
        <v>308</v>
      </c>
      <c r="D146" s="2">
        <f t="shared" si="29"/>
        <v>100322</v>
      </c>
      <c r="E146">
        <f t="shared" si="30"/>
        <v>100322</v>
      </c>
      <c r="F146">
        <f t="shared" si="31"/>
        <v>100.322</v>
      </c>
      <c r="G146" s="1">
        <v>106.2</v>
      </c>
      <c r="H146">
        <f t="shared" si="32"/>
        <v>106200</v>
      </c>
      <c r="I146">
        <f t="shared" si="33"/>
        <v>5.8591335898407131</v>
      </c>
      <c r="K146" t="str">
        <f t="shared" si="34"/>
        <v>中立</v>
      </c>
      <c r="L146" t="str">
        <f t="shared" si="35"/>
        <v>安心持有：價格合理，享受CB攻守兼備的特性。(到期日前還是得轉換)</v>
      </c>
    </row>
  </sheetData>
  <phoneticPr fontId="1" type="noConversion"/>
  <conditionalFormatting sqref="J5:J124">
    <cfRule type="expression" dxfId="41" priority="43">
      <formula>ISNUMBER(SEARCH("不適合套利",J5))</formula>
    </cfRule>
    <cfRule type="expression" dxfId="40" priority="44">
      <formula>ISNUMBER(SEARCH("馬上賣出CB",J5))</formula>
    </cfRule>
    <cfRule type="expression" dxfId="39" priority="45">
      <formula>ISNUMBER(SEARCH("賣出CB,買入現股（明顯",J5))</formula>
    </cfRule>
    <cfRule type="expression" dxfId="38" priority="46">
      <formula>ISNUMBER(SEARCH("考慮賣出CB",J5))</formula>
    </cfRule>
    <cfRule type="expression" dxfId="37" priority="47">
      <formula>ISNUMBER(SEARCH("中立",J5))</formula>
    </cfRule>
    <cfRule type="expression" dxfId="36" priority="48">
      <formula>ISNUMBER(SEARCH("考慮買入CB",J5))</formula>
    </cfRule>
    <cfRule type="expression" dxfId="35" priority="49">
      <formula>ISNUMBER(SEARCH("馬上買入CB",J5))</formula>
    </cfRule>
  </conditionalFormatting>
  <conditionalFormatting sqref="J2:L2">
    <cfRule type="expression" dxfId="34" priority="1016">
      <formula>ISNUMBER(SEARCH("不適合套利",J2))</formula>
    </cfRule>
    <cfRule type="expression" dxfId="33" priority="1017">
      <formula>ISNUMBER(SEARCH("馬上賣出CB",J2))</formula>
    </cfRule>
    <cfRule type="expression" dxfId="32" priority="1018">
      <formula>ISNUMBER(SEARCH("賣出CB,買入現股（明顯",J2))</formula>
    </cfRule>
    <cfRule type="expression" dxfId="31" priority="1019">
      <formula>ISNUMBER(SEARCH("考慮賣出CB",J2))</formula>
    </cfRule>
    <cfRule type="expression" dxfId="30" priority="1020">
      <formula>ISNUMBER(SEARCH("中立",J2))</formula>
    </cfRule>
    <cfRule type="expression" dxfId="29" priority="1021">
      <formula>ISNUMBER(SEARCH("考慮買入CB",J2))</formula>
    </cfRule>
    <cfRule type="expression" dxfId="28" priority="1022">
      <formula>ISNUMBER(SEARCH("馬上買入CB",J2))</formula>
    </cfRule>
  </conditionalFormatting>
  <conditionalFormatting sqref="M5:M124">
    <cfRule type="expression" dxfId="20" priority="204">
      <formula>ISNUMBER(SEARCH("不適合套利",M5))</formula>
    </cfRule>
    <cfRule type="expression" dxfId="19" priority="205">
      <formula>ISNUMBER(SEARCH("馬上賣出CB",M5))</formula>
    </cfRule>
    <cfRule type="expression" dxfId="18" priority="206">
      <formula>ISNUMBER(SEARCH("賣出CB,買入現股（明顯",M5))</formula>
    </cfRule>
    <cfRule type="expression" dxfId="17" priority="207">
      <formula>ISNUMBER(SEARCH("考慮賣出CB",M5))</formula>
    </cfRule>
    <cfRule type="expression" dxfId="16" priority="208">
      <formula>ISNUMBER(SEARCH("中立",M5))</formula>
    </cfRule>
    <cfRule type="expression" dxfId="15" priority="209">
      <formula>ISNUMBER(SEARCH("考慮買入CB",M5))</formula>
    </cfRule>
    <cfRule type="expression" dxfId="14" priority="210">
      <formula>ISNUMBER(SEARCH("馬上買入CB",M5))</formula>
    </cfRule>
  </conditionalFormatting>
  <conditionalFormatting sqref="K5:K146">
    <cfRule type="expression" dxfId="13" priority="8">
      <formula>ISNUMBER(SEARCH("不適合套利",K5))</formula>
    </cfRule>
    <cfRule type="expression" dxfId="12" priority="9">
      <formula>ISNUMBER(SEARCH("馬上賣出CB",K5))</formula>
    </cfRule>
    <cfRule type="expression" dxfId="11" priority="10">
      <formula>ISNUMBER(SEARCH("賣出CB,買入現股（明顯",K5))</formula>
    </cfRule>
    <cfRule type="expression" dxfId="10" priority="11">
      <formula>ISNUMBER(SEARCH("考慮賣出CB",K5))</formula>
    </cfRule>
    <cfRule type="expression" dxfId="9" priority="12">
      <formula>ISNUMBER(SEARCH("中立",K5))</formula>
    </cfRule>
    <cfRule type="expression" dxfId="8" priority="13">
      <formula>ISNUMBER(SEARCH("考慮買入CB",K5))</formula>
    </cfRule>
    <cfRule type="expression" dxfId="7" priority="14">
      <formula>ISNUMBER(SEARCH("馬上買入CB",K5))</formula>
    </cfRule>
  </conditionalFormatting>
  <conditionalFormatting sqref="L5:L146">
    <cfRule type="expression" dxfId="6" priority="1">
      <formula>ISNUMBER(SEARCH("不適合套利",L5))</formula>
    </cfRule>
    <cfRule type="expression" dxfId="5" priority="2">
      <formula>ISNUMBER(SEARCH("馬上賣出CB",L5))</formula>
    </cfRule>
    <cfRule type="expression" dxfId="4" priority="3">
      <formula>ISNUMBER(SEARCH("賣出CB,買入現股（明顯",L5))</formula>
    </cfRule>
    <cfRule type="expression" dxfId="3" priority="4">
      <formula>ISNUMBER(SEARCH("考慮賣出CB",L5))</formula>
    </cfRule>
    <cfRule type="expression" dxfId="2" priority="5">
      <formula>ISNUMBER(SEARCH("中立",L5))</formula>
    </cfRule>
    <cfRule type="expression" dxfId="1" priority="6">
      <formula>ISNUMBER(SEARCH("考慮買入CB",L5))</formula>
    </cfRule>
    <cfRule type="expression" dxfId="0" priority="7">
      <formula>ISNUMBER(SEARCH("馬上買入CB",L5))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809B-6309-4B1F-B925-E5FEDEAE005F}">
  <dimension ref="A1:I4"/>
  <sheetViews>
    <sheetView workbookViewId="0"/>
  </sheetViews>
  <sheetFormatPr defaultRowHeight="17" x14ac:dyDescent="0.4"/>
  <cols>
    <col min="1" max="1" width="9.6328125" bestFit="1" customWidth="1"/>
    <col min="2" max="2" width="10" bestFit="1" customWidth="1"/>
    <col min="5" max="5" width="16.90625" bestFit="1" customWidth="1"/>
  </cols>
  <sheetData>
    <row r="1" spans="1:9" x14ac:dyDescent="0.4">
      <c r="A1" t="s">
        <v>101</v>
      </c>
      <c r="B1" t="s">
        <v>99</v>
      </c>
      <c r="C1" t="s">
        <v>100</v>
      </c>
      <c r="D1" t="s">
        <v>102</v>
      </c>
      <c r="E1" t="s">
        <v>103</v>
      </c>
      <c r="H1" t="s">
        <v>55</v>
      </c>
      <c r="I1" t="s">
        <v>54</v>
      </c>
    </row>
    <row r="2" spans="1:9" x14ac:dyDescent="0.4">
      <c r="A2" s="18">
        <v>45987</v>
      </c>
      <c r="B2" s="26">
        <v>87000</v>
      </c>
      <c r="C2" s="26">
        <v>49000</v>
      </c>
      <c r="D2" s="26">
        <f>B2+C2*0.324</f>
        <v>102876</v>
      </c>
      <c r="E2" s="26">
        <f>B2-D2/2</f>
        <v>35562</v>
      </c>
      <c r="H2" s="1">
        <v>1000</v>
      </c>
      <c r="I2">
        <f>H2*0.324</f>
        <v>324</v>
      </c>
    </row>
    <row r="3" spans="1:9" x14ac:dyDescent="0.4">
      <c r="H3" t="s">
        <v>56</v>
      </c>
      <c r="I3" t="s">
        <v>57</v>
      </c>
    </row>
    <row r="4" spans="1:9" x14ac:dyDescent="0.4">
      <c r="H4" s="1">
        <v>1000</v>
      </c>
      <c r="I4">
        <f>H4/0.324</f>
        <v>3086.4197530864199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8C2A-CB5E-4D06-A39D-EA806D443652}">
  <dimension ref="A1:B13"/>
  <sheetViews>
    <sheetView workbookViewId="0"/>
  </sheetViews>
  <sheetFormatPr defaultRowHeight="17" x14ac:dyDescent="0.4"/>
  <cols>
    <col min="1" max="1" width="13.90625" bestFit="1" customWidth="1"/>
    <col min="2" max="2" width="11.7265625" bestFit="1" customWidth="1"/>
  </cols>
  <sheetData>
    <row r="1" spans="1:2" x14ac:dyDescent="0.4">
      <c r="A1" t="s">
        <v>68</v>
      </c>
      <c r="B1" t="s">
        <v>69</v>
      </c>
    </row>
    <row r="2" spans="1:2" x14ac:dyDescent="0.4">
      <c r="A2" t="s">
        <v>70</v>
      </c>
      <c r="B2">
        <v>270</v>
      </c>
    </row>
    <row r="3" spans="1:2" x14ac:dyDescent="0.4">
      <c r="A3" t="s">
        <v>71</v>
      </c>
      <c r="B3">
        <v>270</v>
      </c>
    </row>
    <row r="4" spans="1:2" x14ac:dyDescent="0.4">
      <c r="A4" t="s">
        <v>72</v>
      </c>
      <c r="B4">
        <v>272.5</v>
      </c>
    </row>
    <row r="5" spans="1:2" x14ac:dyDescent="0.4">
      <c r="A5" t="s">
        <v>73</v>
      </c>
      <c r="B5">
        <v>269</v>
      </c>
    </row>
    <row r="6" spans="1:2" x14ac:dyDescent="0.4">
      <c r="A6" t="s">
        <v>74</v>
      </c>
      <c r="B6">
        <v>270</v>
      </c>
    </row>
    <row r="7" spans="1:2" x14ac:dyDescent="0.4">
      <c r="A7" t="s">
        <v>75</v>
      </c>
      <c r="B7">
        <v>0.51</v>
      </c>
    </row>
    <row r="8" spans="1:2" x14ac:dyDescent="0.4">
      <c r="A8" t="s">
        <v>76</v>
      </c>
      <c r="B8">
        <v>271</v>
      </c>
    </row>
    <row r="9" spans="1:2" x14ac:dyDescent="0.4">
      <c r="A9" t="s">
        <v>77</v>
      </c>
      <c r="B9">
        <v>3.7000000000000002E-3</v>
      </c>
    </row>
    <row r="10" spans="1:2" x14ac:dyDescent="0.4">
      <c r="A10" t="s">
        <v>78</v>
      </c>
      <c r="B10">
        <v>1</v>
      </c>
    </row>
    <row r="11" spans="1:2" x14ac:dyDescent="0.4">
      <c r="A11" t="s">
        <v>79</v>
      </c>
      <c r="B11">
        <v>189</v>
      </c>
    </row>
    <row r="12" spans="1:2" x14ac:dyDescent="0.4">
      <c r="A12" t="s">
        <v>80</v>
      </c>
      <c r="B12">
        <v>294</v>
      </c>
    </row>
    <row r="13" spans="1:2" x14ac:dyDescent="0.4">
      <c r="A13" t="s">
        <v>81</v>
      </c>
      <c r="B13">
        <v>1.29E-2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F024E-7584-48D7-8443-58DC5F54C3A4}">
  <dimension ref="A1:C40"/>
  <sheetViews>
    <sheetView workbookViewId="0"/>
  </sheetViews>
  <sheetFormatPr defaultRowHeight="17" x14ac:dyDescent="0.4"/>
  <cols>
    <col min="1" max="1" width="13.90625" bestFit="1" customWidth="1"/>
    <col min="2" max="2" width="11.7265625" bestFit="1" customWidth="1"/>
  </cols>
  <sheetData>
    <row r="1" spans="1:2" x14ac:dyDescent="0.4">
      <c r="A1" t="s">
        <v>68</v>
      </c>
      <c r="B1" t="s">
        <v>69</v>
      </c>
    </row>
    <row r="2" spans="1:2" x14ac:dyDescent="0.4">
      <c r="A2" t="s">
        <v>70</v>
      </c>
      <c r="B2">
        <v>102.65</v>
      </c>
    </row>
    <row r="3" spans="1:2" x14ac:dyDescent="0.4">
      <c r="A3" t="s">
        <v>71</v>
      </c>
      <c r="B3">
        <v>104.65</v>
      </c>
    </row>
    <row r="4" spans="1:2" x14ac:dyDescent="0.4">
      <c r="A4" t="s">
        <v>72</v>
      </c>
      <c r="B4">
        <v>104.7</v>
      </c>
    </row>
    <row r="5" spans="1:2" x14ac:dyDescent="0.4">
      <c r="A5" t="s">
        <v>73</v>
      </c>
      <c r="B5">
        <v>102.65</v>
      </c>
    </row>
    <row r="6" spans="1:2" x14ac:dyDescent="0.4">
      <c r="A6" t="s">
        <v>74</v>
      </c>
      <c r="B6">
        <v>104.61</v>
      </c>
    </row>
    <row r="7" spans="1:2" x14ac:dyDescent="0.4">
      <c r="A7" t="s">
        <v>75</v>
      </c>
      <c r="B7">
        <v>2.5999999999999999E-2</v>
      </c>
    </row>
    <row r="8" spans="1:2" x14ac:dyDescent="0.4">
      <c r="A8" t="s">
        <v>76</v>
      </c>
      <c r="B8">
        <v>105</v>
      </c>
    </row>
    <row r="9" spans="1:2" x14ac:dyDescent="0.4">
      <c r="A9" t="s">
        <v>77</v>
      </c>
      <c r="B9">
        <v>2.24E-2</v>
      </c>
    </row>
    <row r="10" spans="1:2" x14ac:dyDescent="0.4">
      <c r="A10" t="s">
        <v>78</v>
      </c>
      <c r="B10">
        <v>2.35</v>
      </c>
    </row>
    <row r="11" spans="1:2" x14ac:dyDescent="0.4">
      <c r="A11" t="s">
        <v>79</v>
      </c>
      <c r="B11">
        <v>25</v>
      </c>
    </row>
    <row r="12" spans="1:2" x14ac:dyDescent="0.4">
      <c r="A12" t="s">
        <v>80</v>
      </c>
      <c r="B12">
        <v>39</v>
      </c>
    </row>
    <row r="13" spans="1:2" x14ac:dyDescent="0.4">
      <c r="A13" t="s">
        <v>81</v>
      </c>
      <c r="B13">
        <v>1.95E-2</v>
      </c>
    </row>
    <row r="40" spans="3:3" x14ac:dyDescent="0.4">
      <c r="C40" t="e">
        <f ca="1">_xlfn.SHEET(2)</f>
        <v>#N/A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EA1C5-CB41-4D16-81E3-8A2138E84D02}">
  <dimension ref="A1:F2"/>
  <sheetViews>
    <sheetView workbookViewId="0"/>
  </sheetViews>
  <sheetFormatPr defaultRowHeight="17" x14ac:dyDescent="0.4"/>
  <cols>
    <col min="2" max="2" width="12.36328125" bestFit="1" customWidth="1"/>
    <col min="3" max="3" width="12.453125" bestFit="1" customWidth="1"/>
    <col min="4" max="4" width="7.26953125" bestFit="1" customWidth="1"/>
    <col min="5" max="5" width="13" bestFit="1" customWidth="1"/>
    <col min="6" max="6" width="15.26953125" bestFit="1" customWidth="1"/>
  </cols>
  <sheetData>
    <row r="1" spans="1:6" x14ac:dyDescent="0.4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6</v>
      </c>
    </row>
    <row r="2" spans="1:6" x14ac:dyDescent="0.4">
      <c r="A2" s="1">
        <v>309</v>
      </c>
      <c r="B2">
        <f>100000/308</f>
        <v>324.6753246753247</v>
      </c>
      <c r="C2">
        <f>B2*A2</f>
        <v>100324.67532467534</v>
      </c>
      <c r="D2">
        <v>100000</v>
      </c>
      <c r="E2">
        <f>MAX(C2,D2)</f>
        <v>100324.67532467534</v>
      </c>
      <c r="F2">
        <f>E2/1000</f>
        <v>100.32467532467534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D594-8769-4946-B510-CF935236A615}">
  <dimension ref="A1:E10"/>
  <sheetViews>
    <sheetView workbookViewId="0"/>
  </sheetViews>
  <sheetFormatPr defaultRowHeight="17" x14ac:dyDescent="0.4"/>
  <cols>
    <col min="1" max="1" width="9" bestFit="1" customWidth="1"/>
    <col min="2" max="2" width="10.26953125" bestFit="1" customWidth="1"/>
    <col min="4" max="4" width="9.54296875" bestFit="1" customWidth="1"/>
    <col min="5" max="5" width="2.08984375" bestFit="1" customWidth="1"/>
  </cols>
  <sheetData>
    <row r="1" spans="1:5" x14ac:dyDescent="0.4">
      <c r="A1" s="3" t="s">
        <v>11</v>
      </c>
      <c r="B1" s="4"/>
      <c r="C1" s="4"/>
      <c r="D1" s="4"/>
      <c r="E1" s="4"/>
    </row>
    <row r="2" spans="1:5" x14ac:dyDescent="0.4">
      <c r="A2" s="6" t="s">
        <v>12</v>
      </c>
      <c r="B2" s="5" t="s">
        <v>13</v>
      </c>
      <c r="C2" s="5"/>
      <c r="D2" s="5"/>
      <c r="E2" s="5"/>
    </row>
    <row r="3" spans="1:5" ht="23" x14ac:dyDescent="0.4">
      <c r="A3" s="3" t="s">
        <v>14</v>
      </c>
      <c r="B3" s="4">
        <v>308</v>
      </c>
      <c r="C3" s="4"/>
      <c r="D3" s="4"/>
      <c r="E3" s="4"/>
    </row>
    <row r="4" spans="1:5" ht="23" x14ac:dyDescent="0.4">
      <c r="A4" s="6" t="s">
        <v>18</v>
      </c>
      <c r="B4" s="5">
        <v>106.2</v>
      </c>
      <c r="C4" s="7" t="s">
        <v>19</v>
      </c>
      <c r="D4" s="5"/>
      <c r="E4" s="5"/>
    </row>
    <row r="5" spans="1:5" ht="23" x14ac:dyDescent="0.4">
      <c r="A5" s="3" t="s">
        <v>20</v>
      </c>
      <c r="B5" s="4">
        <v>309</v>
      </c>
      <c r="C5" s="9" t="s">
        <v>19</v>
      </c>
      <c r="D5" s="4"/>
      <c r="E5" s="4"/>
    </row>
    <row r="6" spans="1:5" x14ac:dyDescent="0.4">
      <c r="A6" s="6" t="s">
        <v>15</v>
      </c>
      <c r="B6" s="5"/>
      <c r="C6" s="5"/>
      <c r="D6" s="5"/>
      <c r="E6" s="5"/>
    </row>
    <row r="7" spans="1:5" x14ac:dyDescent="0.4">
      <c r="A7" s="3" t="s">
        <v>3</v>
      </c>
      <c r="B7" s="10">
        <f>(B5/B3)*100</f>
        <v>100.32467532467533</v>
      </c>
      <c r="C7" s="10"/>
      <c r="D7" s="9"/>
      <c r="E7" s="4"/>
    </row>
    <row r="8" spans="1:5" ht="23" x14ac:dyDescent="0.4">
      <c r="A8" s="6" t="s">
        <v>16</v>
      </c>
      <c r="B8" s="11">
        <f>((B4/B7)-1)*100</f>
        <v>5.8563106796116537</v>
      </c>
      <c r="C8" s="11"/>
      <c r="D8" s="7"/>
      <c r="E8" s="5"/>
    </row>
    <row r="9" spans="1:5" x14ac:dyDescent="0.4">
      <c r="A9" s="3" t="s">
        <v>17</v>
      </c>
      <c r="B9" s="10" t="str">
        <f>IF(B8&lt;0, "明顯便宜 (折價)", IF(B8&lt;5, "價格不錯", IF(B8&lt;15, "合理區間", "相對偏貴")))</f>
        <v>合理區間</v>
      </c>
      <c r="C9" s="10"/>
      <c r="D9" s="4"/>
      <c r="E9" s="4"/>
    </row>
    <row r="10" spans="1:5" x14ac:dyDescent="0.4">
      <c r="A10" s="3"/>
      <c r="B10" s="8"/>
      <c r="C10" s="3"/>
      <c r="D10" s="4"/>
      <c r="E10" s="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DA0B-04D5-4D98-BE16-00E0FFA02605}">
  <dimension ref="A1:C17"/>
  <sheetViews>
    <sheetView workbookViewId="0"/>
  </sheetViews>
  <sheetFormatPr defaultRowHeight="17" x14ac:dyDescent="0.4"/>
  <cols>
    <col min="2" max="2" width="9.7265625" bestFit="1" customWidth="1"/>
    <col min="3" max="3" width="29.08984375" customWidth="1"/>
  </cols>
  <sheetData>
    <row r="1" spans="1:3" x14ac:dyDescent="0.4">
      <c r="A1" s="13" t="s">
        <v>22</v>
      </c>
      <c r="B1" s="13" t="s">
        <v>23</v>
      </c>
      <c r="C1" s="13" t="s">
        <v>24</v>
      </c>
    </row>
    <row r="2" spans="1:3" x14ac:dyDescent="0.4">
      <c r="A2" s="14" t="s">
        <v>25</v>
      </c>
      <c r="B2" s="14">
        <v>100000</v>
      </c>
      <c r="C2" s="14" t="s">
        <v>26</v>
      </c>
    </row>
    <row r="3" spans="1:3" x14ac:dyDescent="0.4">
      <c r="A3" s="12" t="s">
        <v>27</v>
      </c>
      <c r="B3" s="12">
        <v>308</v>
      </c>
      <c r="C3" s="12" t="s">
        <v>28</v>
      </c>
    </row>
    <row r="4" spans="1:3" x14ac:dyDescent="0.4">
      <c r="A4" s="14" t="s">
        <v>29</v>
      </c>
      <c r="B4" s="14">
        <v>3</v>
      </c>
      <c r="C4" s="14" t="s">
        <v>30</v>
      </c>
    </row>
    <row r="5" spans="1:3" x14ac:dyDescent="0.4">
      <c r="A5" s="12" t="s">
        <v>31</v>
      </c>
      <c r="B5" s="12">
        <v>0</v>
      </c>
      <c r="C5" s="12" t="s">
        <v>32</v>
      </c>
    </row>
    <row r="6" spans="1:3" ht="23" x14ac:dyDescent="0.4">
      <c r="A6" s="14" t="s">
        <v>33</v>
      </c>
      <c r="B6" s="14">
        <v>0.05</v>
      </c>
      <c r="C6" s="14" t="s">
        <v>34</v>
      </c>
    </row>
    <row r="7" spans="1:3" x14ac:dyDescent="0.4">
      <c r="A7" s="12" t="s">
        <v>35</v>
      </c>
      <c r="B7" s="15">
        <v>400</v>
      </c>
      <c r="C7" s="12" t="s">
        <v>36</v>
      </c>
    </row>
    <row r="8" spans="1:3" x14ac:dyDescent="0.4">
      <c r="A8" s="14"/>
      <c r="B8" s="14"/>
      <c r="C8" s="14"/>
    </row>
    <row r="9" spans="1:3" x14ac:dyDescent="0.4">
      <c r="A9" s="13" t="s">
        <v>37</v>
      </c>
      <c r="B9" s="13" t="s">
        <v>23</v>
      </c>
      <c r="C9" s="13" t="s">
        <v>38</v>
      </c>
    </row>
    <row r="10" spans="1:3" ht="23" x14ac:dyDescent="0.4">
      <c r="A10" s="14" t="s">
        <v>39</v>
      </c>
      <c r="B10" s="14">
        <f>B2/B3</f>
        <v>324.6753246753247</v>
      </c>
      <c r="C10" s="14" t="s">
        <v>40</v>
      </c>
    </row>
    <row r="11" spans="1:3" ht="23" x14ac:dyDescent="0.4">
      <c r="A11" s="12" t="s">
        <v>41</v>
      </c>
      <c r="B11" s="12">
        <f>B10*B7</f>
        <v>129870.12987012988</v>
      </c>
      <c r="C11" s="12" t="e" cm="1">
        <f t="array" ref="C11">CR * S</f>
        <v>#NAME?</v>
      </c>
    </row>
    <row r="12" spans="1:3" ht="23" x14ac:dyDescent="0.4">
      <c r="A12" s="14" t="s">
        <v>42</v>
      </c>
      <c r="B12" s="14">
        <f>B2/(1+B5)^B4</f>
        <v>100000</v>
      </c>
      <c r="C12" s="14" t="s">
        <v>43</v>
      </c>
    </row>
    <row r="13" spans="1:3" ht="23" x14ac:dyDescent="0.4">
      <c r="A13" s="12" t="s">
        <v>44</v>
      </c>
      <c r="B13" s="12">
        <f>MAX(B12,B11) + IF(B7&gt;B3, B11*B6, 0)</f>
        <v>136363.63636363638</v>
      </c>
      <c r="C13" s="12" t="s">
        <v>45</v>
      </c>
    </row>
    <row r="14" spans="1:3" ht="23" x14ac:dyDescent="0.4">
      <c r="A14" s="16" t="s">
        <v>51</v>
      </c>
      <c r="B14" s="15">
        <v>180</v>
      </c>
      <c r="C14" s="14" t="s">
        <v>46</v>
      </c>
    </row>
    <row r="15" spans="1:3" ht="23" x14ac:dyDescent="0.4">
      <c r="A15" s="16" t="s">
        <v>52</v>
      </c>
      <c r="B15" s="17">
        <f>B14*1000</f>
        <v>180000</v>
      </c>
    </row>
    <row r="16" spans="1:3" x14ac:dyDescent="0.4">
      <c r="A16" s="12" t="s">
        <v>47</v>
      </c>
      <c r="B16" s="12">
        <f>(B15-B13)/B13</f>
        <v>0.31999999999999984</v>
      </c>
      <c r="C16" s="12" t="s">
        <v>48</v>
      </c>
    </row>
    <row r="17" spans="1:3" ht="23" x14ac:dyDescent="0.4">
      <c r="A17" s="14" t="s">
        <v>49</v>
      </c>
      <c r="B17" s="14" t="str">
        <f>IF(B16&gt;0.1,"貴 (溢價&gt;10%)",IF(B16&lt;-0.1,"便宜 (折價&gt;10%)","公平"))</f>
        <v>貴 (溢價&gt;10%)</v>
      </c>
      <c r="C17" s="14" t="s">
        <v>50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722AC1-61D5-40B9-B060-8972BA8018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Summary</vt:lpstr>
      <vt:lpstr>Main</vt:lpstr>
      <vt:lpstr>KPI</vt:lpstr>
      <vt:lpstr>6533</vt:lpstr>
      <vt:lpstr>65331</vt:lpstr>
      <vt:lpstr>GPT5</vt:lpstr>
      <vt:lpstr>Gemini</vt:lpstr>
      <vt:lpstr>Grok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Terran Chi-Ta Wu(吳奇達)</dc:creator>
  <cp:lastModifiedBy>Terran Chi-Ta Wu(吳奇達)</cp:lastModifiedBy>
  <dcterms:created xsi:type="dcterms:W3CDTF">2025-09-08T04:24:44Z</dcterms:created>
  <dcterms:modified xsi:type="dcterms:W3CDTF">2025-12-05T16:52:08Z</dcterms:modified>
</cp:coreProperties>
</file>